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anielnunesbelfort/Desktop/"/>
    </mc:Choice>
  </mc:AlternateContent>
  <xr:revisionPtr revIDLastSave="0" documentId="13_ncr:1_{ABCEBAFD-2007-3E42-8C83-E0B22A52E804}" xr6:coauthVersionLast="45" xr6:coauthVersionMax="47" xr10:uidLastSave="{00000000-0000-0000-0000-000000000000}"/>
  <bookViews>
    <workbookView xWindow="0" yWindow="500" windowWidth="20740" windowHeight="11040" xr2:uid="{00000000-000D-0000-FFFF-FFFF00000000}"/>
  </bookViews>
  <sheets>
    <sheet name="Fulano de Tal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Sq9L/5d2Vx+7hcg6F6pnRAtOf/WDyIZvSoLALU2PFUc="/>
    </ext>
  </extLst>
</workbook>
</file>

<file path=xl/calcChain.xml><?xml version="1.0" encoding="utf-8"?>
<calcChain xmlns="http://schemas.openxmlformats.org/spreadsheetml/2006/main">
  <c r="M67" i="16" l="1"/>
  <c r="H67" i="16" s="1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17" i="16"/>
  <c r="M36" i="16"/>
  <c r="M3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8" i="16"/>
  <c r="M69" i="16"/>
  <c r="M70" i="16"/>
  <c r="M17" i="16"/>
  <c r="M71" i="16" l="1"/>
  <c r="E8" i="16" s="1"/>
  <c r="G71" i="16"/>
  <c r="H58" i="16" s="1"/>
  <c r="H37" i="16" l="1"/>
  <c r="H36" i="16"/>
  <c r="H61" i="16"/>
  <c r="H51" i="16"/>
  <c r="H18" i="16"/>
  <c r="H17" i="16"/>
  <c r="H56" i="16"/>
  <c r="H24" i="16"/>
  <c r="H25" i="16"/>
  <c r="H63" i="16"/>
  <c r="H26" i="16"/>
  <c r="H64" i="16"/>
  <c r="H32" i="16"/>
  <c r="H29" i="16"/>
  <c r="H68" i="16"/>
  <c r="H30" i="16"/>
  <c r="H69" i="16"/>
  <c r="H38" i="16"/>
  <c r="H43" i="16"/>
  <c r="H59" i="16"/>
  <c r="H22" i="16"/>
  <c r="H60" i="16"/>
  <c r="H28" i="16"/>
  <c r="H33" i="16"/>
  <c r="H27" i="16"/>
  <c r="H34" i="16"/>
  <c r="H23" i="16"/>
  <c r="H42" i="16"/>
  <c r="H19" i="16"/>
  <c r="H39" i="16"/>
  <c r="H41" i="16"/>
  <c r="H40" i="16"/>
  <c r="H35" i="16"/>
  <c r="H50" i="16"/>
  <c r="H31" i="16"/>
  <c r="H49" i="16"/>
  <c r="H44" i="16"/>
  <c r="H65" i="16"/>
  <c r="H62" i="16"/>
  <c r="H45" i="16"/>
  <c r="H47" i="16"/>
  <c r="H57" i="16"/>
  <c r="H52" i="16"/>
  <c r="H20" i="16"/>
  <c r="H66" i="16"/>
  <c r="H21" i="16"/>
  <c r="H55" i="16"/>
  <c r="H70" i="16"/>
  <c r="H48" i="16"/>
  <c r="H53" i="16"/>
  <c r="H46" i="16"/>
  <c r="H54" i="16"/>
  <c r="H71" i="16" l="1"/>
  <c r="G72" i="16" s="1"/>
  <c r="E9" i="16" l="1"/>
  <c r="F11" i="16" s="1"/>
  <c r="N11" i="16" s="1"/>
</calcChain>
</file>

<file path=xl/sharedStrings.xml><?xml version="1.0" encoding="utf-8"?>
<sst xmlns="http://schemas.openxmlformats.org/spreadsheetml/2006/main" count="95" uniqueCount="95">
  <si>
    <t>Data da Avaliação:</t>
  </si>
  <si>
    <t>PONTUAÇÃO</t>
  </si>
  <si>
    <t/>
  </si>
  <si>
    <t>AVALIADORES</t>
  </si>
  <si>
    <t>PARECER DA AVALIAÇÃO:</t>
  </si>
  <si>
    <t>Pontuação</t>
  </si>
  <si>
    <t>Descrição da Não Conformidade ou Oportunidade de Melhoria</t>
  </si>
  <si>
    <t>Iten</t>
  </si>
  <si>
    <t xml:space="preserve">Peso </t>
  </si>
  <si>
    <t>Homêrico</t>
  </si>
  <si>
    <t>Resultado</t>
  </si>
  <si>
    <t xml:space="preserve">Resumo a Avalição </t>
  </si>
  <si>
    <t>SETOR</t>
  </si>
  <si>
    <t>AVALIAÇÃO DE DESEMPENHO</t>
  </si>
  <si>
    <t>Descrição dos Indicadores</t>
  </si>
  <si>
    <t>CARGO</t>
  </si>
  <si>
    <t>AVALIAÇÃO - A avaliação é realizada com base nos indicadores contidos na descrição de cargo, considerando as responsabilidades e competências exigidas para cada gargo na medida da proporção da resposabilidade de cada cargo.</t>
  </si>
  <si>
    <t>Controle de Qualidade</t>
  </si>
  <si>
    <t>PRODUÇÃO</t>
  </si>
  <si>
    <t>ALIMENTADOR DE PRODUÇÃO</t>
  </si>
  <si>
    <t>Operação de Equipamentos e Máquinas</t>
  </si>
  <si>
    <t>Tempo médio necessário para preparar e ajustar os equipamentos antes do início da produção.</t>
  </si>
  <si>
    <t>Conhecimento em Processos de Produção</t>
  </si>
  <si>
    <t>Taxa de Conformidade com Procedimentos Operacionais</t>
  </si>
  <si>
    <t>Taxa de Produção</t>
  </si>
  <si>
    <t>Índice de Retrabalho.</t>
  </si>
  <si>
    <t>Percentual de produtos que não atendem aos padrões de qualidade</t>
  </si>
  <si>
    <t>Custo total associado à não conformidade, incluindo retrabalho, desperdícios e devoluções</t>
  </si>
  <si>
    <t>Tempo médio necessário para identificar e resolver problemas de qualidade</t>
  </si>
  <si>
    <t>Leitura e Interpretação de Instruções de Trabalho</t>
  </si>
  <si>
    <t>Percentual de tarefas realizadas conforme as instruções de trabalho fornecidas</t>
  </si>
  <si>
    <t>Quantidade de erros ou problemas causados por má interpretação das instruções de trabalho</t>
  </si>
  <si>
    <t>Tempo médio gasto para realizar tarefas de acordo com as instruções de trabalho</t>
  </si>
  <si>
    <t>Conhecimento em Boas Práticas de Fabricação (BPF)</t>
  </si>
  <si>
    <t>Percentual de conformidade com as boas práticas de fabricação durante o processo produtivo</t>
  </si>
  <si>
    <t>Quantidade de incidentes ou problemas identificados que violam as boas práticas de fabricação</t>
  </si>
  <si>
    <t>Percentual de colaboradores que completaram com sucesso o treinamento em boas práticas de fabricação</t>
  </si>
  <si>
    <t>Atenção</t>
  </si>
  <si>
    <t>Baixa quantidade de erros nos processos</t>
  </si>
  <si>
    <t>Evita cometar o mesmo erro mais de uma vez</t>
  </si>
  <si>
    <t>Proatividade</t>
  </si>
  <si>
    <t>Não espera para que seja mandado executar atividades que estão em evidência</t>
  </si>
  <si>
    <t>Trabalho em Equipe</t>
  </si>
  <si>
    <t>Mesmo estando ocupado, busca na medida do possível colaborar com sua equipe</t>
  </si>
  <si>
    <t>Não espera pedido para ajudar quem está precisando</t>
  </si>
  <si>
    <t>Busca o resultado comum e não apenas o individual</t>
  </si>
  <si>
    <t>Responsabilidade</t>
  </si>
  <si>
    <t>Assume a Responsabilidade pelos seus atos</t>
  </si>
  <si>
    <t>Planeja e Organiza Suas Atividades</t>
  </si>
  <si>
    <t>Comunica-se de Forma Clara</t>
  </si>
  <si>
    <t>Segue Normas e Procedimentos</t>
  </si>
  <si>
    <t>Preocupa-se com o Impacto de Suas Ações</t>
  </si>
  <si>
    <t>Disciplina</t>
  </si>
  <si>
    <t>Segue uma Rotina Estruturada</t>
  </si>
  <si>
    <t>Cumpre Prazos e Regras</t>
  </si>
  <si>
    <t>Controla Impulsos e Distrações</t>
  </si>
  <si>
    <t>Mantém o Compromisso</t>
  </si>
  <si>
    <t>Realiza Tarefas de Forma Consistente</t>
  </si>
  <si>
    <t>Prioriza Atividades Importantes</t>
  </si>
  <si>
    <t>Organização</t>
  </si>
  <si>
    <t>Administra Bem o Tempo</t>
  </si>
  <si>
    <t>Organiza Seu Espaço Físico</t>
  </si>
  <si>
    <t>Documenta e Registra Informações</t>
  </si>
  <si>
    <t>Antecipação e Preparação</t>
  </si>
  <si>
    <t>Determinação</t>
  </si>
  <si>
    <t>Mesmo nas metas mais ousadas, busca alcançar o sucesso</t>
  </si>
  <si>
    <t>Vence as barreiras das dificuldades para atingir os objetivos</t>
  </si>
  <si>
    <t>Comportamento ético</t>
  </si>
  <si>
    <t>Mesmo não sendo confortável, fala a verdade;</t>
  </si>
  <si>
    <t>Não fala somente o que o outro quer ouvir, mentindo ou omitindo situações</t>
  </si>
  <si>
    <t>Resiliência</t>
  </si>
  <si>
    <t>Tem respostas positivas em meio a dificuldades</t>
  </si>
  <si>
    <t>Busca mesmo em momentos de crise dar o seu melhor</t>
  </si>
  <si>
    <t>Flexibilidade</t>
  </si>
  <si>
    <t>Administra muitas atividades ao mesmo tempo</t>
  </si>
  <si>
    <t>Recebe bem mudanças trazidas pela empresa</t>
  </si>
  <si>
    <t>Quando não concorda com as mudanças, sugere alterações com intenção de melhorar processos e práticas</t>
  </si>
  <si>
    <t>Tem facilidade de adaptação a novas realidades</t>
  </si>
  <si>
    <t>Tem a cabeça aberta para o aprendizado</t>
  </si>
  <si>
    <t>Respeito</t>
  </si>
  <si>
    <t>Trata as pessoas de forma respeitosa</t>
  </si>
  <si>
    <t>Mesmo em situações que se sente desrespeitado, age com respeito ao próximo</t>
  </si>
  <si>
    <t>Tem a capacidade de respeitar opiniões divergentes</t>
  </si>
  <si>
    <t>Empatia</t>
  </si>
  <si>
    <t>As pessoas sentem liberdade de lhe procurar. E se sentem entendidas e ouvidas</t>
  </si>
  <si>
    <t>Compreende as necessidades dos colaboradores;</t>
  </si>
  <si>
    <t>Ser cortês e realizar atendimento personalizado</t>
  </si>
  <si>
    <t>AVALIADO</t>
  </si>
  <si>
    <t>Março</t>
  </si>
  <si>
    <t>Junho</t>
  </si>
  <si>
    <t>Setembro</t>
  </si>
  <si>
    <t>Dezembro</t>
  </si>
  <si>
    <t>Não falta de forma não justificada</t>
  </si>
  <si>
    <t>Mantem a pontualidade</t>
  </si>
  <si>
    <t>Demonstra ânimo, posivitidade e boa vontade no atendimento ou contato com o cliente ou parceiro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</si>
</sst>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rgb="FFCCFFFF"/>
      <name val="Arial"/>
      <family val="2"/>
    </font>
    <font>
      <sz val="11"/>
      <name val="Calibri"/>
      <family val="2"/>
    </font>
    <font>
      <b/>
      <sz val="10"/>
      <color rgb="FFFF6600"/>
      <name val="Arial"/>
      <family val="2"/>
    </font>
    <font>
      <b/>
      <sz val="10"/>
      <color rgb="FF333333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rial"/>
      <family val="2"/>
    </font>
    <font>
      <b/>
      <sz val="22"/>
      <color rgb="FFCCFFFF"/>
      <name val="Arial"/>
      <family val="2"/>
    </font>
    <font>
      <sz val="12"/>
      <color theme="1"/>
      <name val="Arial"/>
      <family val="2"/>
    </font>
    <font>
      <b/>
      <sz val="12"/>
      <color rgb="FF333333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color rgb="FF00FFFF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  <font>
      <b/>
      <sz val="12"/>
      <color rgb="FFDAEEF3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22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FFFF"/>
      </patternFill>
    </fill>
    <fill>
      <patternFill patternType="solid">
        <fgColor rgb="FF00B050"/>
        <bgColor rgb="FFC0C0C0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14" fillId="0" borderId="0" xfId="0" applyFont="1"/>
    <xf numFmtId="0" fontId="13" fillId="0" borderId="16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6" fillId="0" borderId="16" xfId="0" applyFont="1" applyBorder="1" applyAlignment="1">
      <alignment vertical="center" wrapText="1"/>
    </xf>
    <xf numFmtId="2" fontId="13" fillId="0" borderId="18" xfId="0" applyNumberFormat="1" applyFont="1" applyBorder="1" applyAlignment="1">
      <alignment horizontal="center" vertical="center"/>
    </xf>
    <xf numFmtId="9" fontId="13" fillId="0" borderId="18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1" fillId="3" borderId="27" xfId="0" applyFont="1" applyFill="1" applyBorder="1" applyAlignment="1">
      <alignment vertical="center"/>
    </xf>
    <xf numFmtId="0" fontId="9" fillId="3" borderId="28" xfId="0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/>
    </xf>
    <xf numFmtId="164" fontId="6" fillId="5" borderId="10" xfId="0" applyNumberFormat="1" applyFont="1" applyFill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4" fillId="0" borderId="16" xfId="0" applyFont="1" applyBorder="1" applyAlignment="1">
      <alignment vertical="center"/>
    </xf>
    <xf numFmtId="0" fontId="8" fillId="0" borderId="16" xfId="0" applyFont="1" applyBorder="1"/>
    <xf numFmtId="0" fontId="10" fillId="0" borderId="16" xfId="0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 wrapText="1"/>
    </xf>
    <xf numFmtId="2" fontId="9" fillId="0" borderId="16" xfId="0" applyNumberFormat="1" applyFont="1" applyBorder="1" applyAlignment="1">
      <alignment horizontal="center" vertical="center" wrapText="1"/>
    </xf>
    <xf numFmtId="0" fontId="11" fillId="3" borderId="31" xfId="0" applyFont="1" applyFill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20" fillId="0" borderId="32" xfId="0" applyFont="1" applyBorder="1" applyAlignment="1">
      <alignment vertical="center" wrapText="1"/>
    </xf>
    <xf numFmtId="0" fontId="20" fillId="0" borderId="18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9" fontId="13" fillId="0" borderId="18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5" fillId="0" borderId="16" xfId="0" applyFont="1" applyBorder="1"/>
    <xf numFmtId="0" fontId="13" fillId="3" borderId="28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7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2">
    <dxf>
      <font>
        <b/>
        <color rgb="FFFF99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0000FF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8000"/>
      </font>
      <fill>
        <patternFill patternType="none"/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8000"/>
          <bgColor rgb="FF008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8000"/>
          <bgColor rgb="FF0080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8000"/>
          <bgColor rgb="FF008000"/>
        </patternFill>
      </fill>
    </dxf>
    <dxf>
      <fill>
        <patternFill patternType="solid">
          <fgColor rgb="FFC0C0C0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F372-5224-486D-93AD-FB9061C8E36E}">
  <dimension ref="A1:AE1044"/>
  <sheetViews>
    <sheetView showGridLines="0" tabSelected="1" topLeftCell="A8" zoomScale="85" zoomScaleNormal="85" workbookViewId="0">
      <selection activeCell="O19" sqref="O19"/>
    </sheetView>
  </sheetViews>
  <sheetFormatPr baseColWidth="10" defaultColWidth="14.5" defaultRowHeight="15" customHeight="1" x14ac:dyDescent="0.2"/>
  <cols>
    <col min="1" max="1" width="2.5" customWidth="1"/>
    <col min="2" max="2" width="7.1640625" customWidth="1"/>
    <col min="3" max="3" width="29.1640625" bestFit="1" customWidth="1"/>
    <col min="4" max="4" width="41.83203125" customWidth="1"/>
    <col min="5" max="5" width="13.83203125" customWidth="1"/>
    <col min="6" max="6" width="8.6640625" customWidth="1"/>
    <col min="7" max="7" width="7.33203125" customWidth="1"/>
    <col min="8" max="8" width="10" bestFit="1" customWidth="1"/>
    <col min="9" max="10" width="8.6640625" customWidth="1"/>
    <col min="11" max="11" width="10.5" bestFit="1" customWidth="1"/>
    <col min="12" max="12" width="10.6640625" bestFit="1" customWidth="1"/>
    <col min="13" max="13" width="10.83203125" customWidth="1"/>
    <col min="14" max="14" width="4.5" customWidth="1"/>
    <col min="15" max="15" width="17.6640625" bestFit="1" customWidth="1"/>
    <col min="16" max="16" width="39.1640625" customWidth="1"/>
    <col min="17" max="17" width="0.5" customWidth="1"/>
    <col min="18" max="18" width="14.5" customWidth="1"/>
    <col min="19" max="19" width="26.83203125" customWidth="1"/>
    <col min="20" max="20" width="21.6640625" customWidth="1"/>
    <col min="21" max="21" width="22.83203125" customWidth="1"/>
    <col min="22" max="22" width="23.83203125" customWidth="1"/>
    <col min="23" max="23" width="23.6640625" customWidth="1"/>
    <col min="24" max="24" width="30.33203125" customWidth="1"/>
    <col min="25" max="31" width="8.6640625" customWidth="1"/>
  </cols>
  <sheetData>
    <row r="1" spans="1:31" ht="14.5" customHeight="1" x14ac:dyDescent="0.2">
      <c r="A1" s="8"/>
      <c r="B1" s="41"/>
      <c r="C1" s="41"/>
      <c r="D1" s="41"/>
      <c r="E1" s="8"/>
      <c r="F1" s="4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1" customHeight="1" x14ac:dyDescent="0.2">
      <c r="A2" s="8"/>
      <c r="B2" s="58" t="s">
        <v>13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  <c r="Q2" s="42"/>
      <c r="R2" s="8"/>
      <c r="S2" s="4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customHeight="1" x14ac:dyDescent="0.2">
      <c r="A3" s="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8"/>
      <c r="R3" s="8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 customHeight="1" x14ac:dyDescent="0.2">
      <c r="A4" s="1"/>
      <c r="B4" s="8"/>
      <c r="C4" s="8"/>
      <c r="D4" s="61"/>
      <c r="E4" s="61"/>
      <c r="F4" s="9"/>
      <c r="G4" s="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17" customFormat="1" ht="12.75" customHeight="1" x14ac:dyDescent="0.2">
      <c r="A5" s="14"/>
      <c r="B5" s="15"/>
      <c r="C5" s="15"/>
      <c r="D5" s="16" t="s">
        <v>0</v>
      </c>
      <c r="E5" s="38">
        <v>45833</v>
      </c>
      <c r="F5" s="46"/>
      <c r="G5" s="14"/>
      <c r="H5" s="15"/>
      <c r="I5" s="15"/>
      <c r="J5" s="15"/>
      <c r="K5" s="15"/>
      <c r="L5" s="15"/>
      <c r="M5" s="15"/>
      <c r="N5" s="16"/>
      <c r="O5" s="27" t="s">
        <v>12</v>
      </c>
      <c r="P5" s="62" t="s">
        <v>18</v>
      </c>
      <c r="Q5" s="62"/>
      <c r="R5" s="15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s="17" customFormat="1" ht="13.5" customHeight="1" x14ac:dyDescent="0.2">
      <c r="A6" s="14"/>
      <c r="B6" s="15"/>
      <c r="C6" s="15"/>
      <c r="D6" s="18"/>
      <c r="E6" s="63"/>
      <c r="F6" s="63"/>
      <c r="G6" s="14"/>
      <c r="H6" s="14"/>
      <c r="I6" s="14"/>
      <c r="J6" s="14"/>
      <c r="K6" s="14"/>
      <c r="L6" s="14"/>
      <c r="M6" s="14"/>
      <c r="N6" s="19"/>
      <c r="O6" s="27" t="s">
        <v>15</v>
      </c>
      <c r="P6" s="62" t="s">
        <v>19</v>
      </c>
      <c r="Q6" s="6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s="17" customFormat="1" ht="12.75" customHeight="1" x14ac:dyDescent="0.2">
      <c r="A7" s="14"/>
      <c r="B7" s="56"/>
      <c r="C7" s="56"/>
      <c r="D7" s="56"/>
      <c r="E7" s="14"/>
      <c r="F7" s="14"/>
      <c r="G7" s="14"/>
      <c r="H7" s="14"/>
      <c r="I7" s="14"/>
      <c r="J7" s="14"/>
      <c r="K7" s="14"/>
      <c r="L7" s="14"/>
      <c r="M7" s="14"/>
      <c r="N7" s="14"/>
      <c r="O7" s="28"/>
      <c r="P7" s="57"/>
      <c r="Q7" s="57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s="17" customFormat="1" ht="12.75" customHeight="1" x14ac:dyDescent="0.2">
      <c r="A8" s="14"/>
      <c r="B8" s="29"/>
      <c r="C8" s="29"/>
      <c r="D8" s="64" t="s">
        <v>1</v>
      </c>
      <c r="E8" s="30">
        <f>M71</f>
        <v>8</v>
      </c>
      <c r="F8" s="20"/>
      <c r="G8" s="39" t="s">
        <v>2</v>
      </c>
      <c r="H8" s="14"/>
      <c r="I8" s="14"/>
      <c r="J8" s="14"/>
      <c r="K8" s="14"/>
      <c r="L8" s="14"/>
      <c r="M8" s="14"/>
      <c r="N8" s="19"/>
      <c r="O8" s="27" t="s">
        <v>3</v>
      </c>
      <c r="P8" s="62"/>
      <c r="Q8" s="6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s="17" customFormat="1" ht="12.75" customHeight="1" x14ac:dyDescent="0.2">
      <c r="A9" s="14"/>
      <c r="B9" s="29"/>
      <c r="C9" s="29"/>
      <c r="D9" s="64"/>
      <c r="E9" s="31">
        <f>H71/G71</f>
        <v>0.79999999999999982</v>
      </c>
      <c r="F9" s="20"/>
      <c r="G9" s="14"/>
      <c r="H9" s="14"/>
      <c r="I9" s="14"/>
      <c r="J9" s="14"/>
      <c r="K9" s="14"/>
      <c r="L9" s="14"/>
      <c r="M9" s="14"/>
      <c r="N9" s="21"/>
      <c r="O9" s="27" t="s">
        <v>87</v>
      </c>
      <c r="P9" s="62"/>
      <c r="Q9" s="6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s="17" customFormat="1" ht="12.75" customHeight="1" x14ac:dyDescent="0.2">
      <c r="A10" s="14"/>
      <c r="B10" s="14"/>
      <c r="C10" s="14"/>
      <c r="D10" s="2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s="17" customFormat="1" ht="12.75" customHeight="1" x14ac:dyDescent="0.2">
      <c r="A11" s="14"/>
      <c r="B11" s="32"/>
      <c r="C11" s="32"/>
      <c r="D11" s="65" t="s">
        <v>4</v>
      </c>
      <c r="E11" s="65"/>
      <c r="F11" s="66" t="str">
        <f>IF(E9="","",IF(E9&gt;=0.8,"APROVADO",IF(E9=0,"AGUARDANDO","REPROVADO")))</f>
        <v>APROVADO</v>
      </c>
      <c r="G11" s="66"/>
      <c r="H11" s="66"/>
      <c r="I11" s="66"/>
      <c r="J11" s="66"/>
      <c r="K11" s="66"/>
      <c r="L11" s="66"/>
      <c r="M11" s="66"/>
      <c r="N11" s="22">
        <f>IF(F11="Aprovado",1,0)</f>
        <v>1</v>
      </c>
      <c r="O11" s="14"/>
      <c r="P11" s="14"/>
      <c r="Q11" s="14"/>
      <c r="R11" s="15"/>
      <c r="S11" s="15"/>
      <c r="T11" s="15"/>
      <c r="U11" s="15"/>
      <c r="V11" s="15"/>
      <c r="W11" s="15"/>
      <c r="X11" s="15"/>
      <c r="Y11" s="14"/>
      <c r="Z11" s="14"/>
      <c r="AA11" s="14"/>
      <c r="AB11" s="14"/>
      <c r="AC11" s="14"/>
      <c r="AD11" s="14"/>
      <c r="AE11" s="14"/>
    </row>
    <row r="12" spans="1:31" s="17" customFormat="1" ht="12.75" customHeight="1" thickBo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5"/>
      <c r="V12" s="15"/>
      <c r="W12" s="15"/>
      <c r="X12" s="15"/>
      <c r="Y12" s="14"/>
      <c r="Z12" s="14"/>
      <c r="AA12" s="14"/>
      <c r="AB12" s="14"/>
      <c r="AC12" s="14"/>
      <c r="AD12" s="14"/>
      <c r="AE12" s="14"/>
    </row>
    <row r="13" spans="1:31" s="17" customFormat="1" ht="16" x14ac:dyDescent="0.2">
      <c r="A13" s="14"/>
      <c r="B13" s="84" t="s">
        <v>16</v>
      </c>
      <c r="C13" s="85"/>
      <c r="D13" s="86"/>
      <c r="E13" s="86"/>
      <c r="F13" s="86"/>
      <c r="G13" s="90" t="s">
        <v>5</v>
      </c>
      <c r="H13" s="90"/>
      <c r="I13" s="90"/>
      <c r="J13" s="90"/>
      <c r="K13" s="90"/>
      <c r="L13" s="90"/>
      <c r="M13" s="90"/>
      <c r="N13" s="90" t="s">
        <v>6</v>
      </c>
      <c r="O13" s="90"/>
      <c r="P13" s="92"/>
      <c r="Q13" s="14"/>
      <c r="R13" s="67"/>
      <c r="S13" s="68"/>
      <c r="T13" s="68"/>
      <c r="U13" s="68"/>
      <c r="V13" s="68"/>
      <c r="W13" s="68"/>
      <c r="X13" s="68"/>
      <c r="Y13" s="14"/>
      <c r="Z13" s="14"/>
      <c r="AA13" s="14"/>
      <c r="AB13" s="14"/>
      <c r="AC13" s="14"/>
      <c r="AD13" s="14"/>
      <c r="AE13" s="14"/>
    </row>
    <row r="14" spans="1:31" s="17" customFormat="1" ht="21" customHeight="1" x14ac:dyDescent="0.2">
      <c r="A14" s="14"/>
      <c r="B14" s="87"/>
      <c r="C14" s="88"/>
      <c r="D14" s="89"/>
      <c r="E14" s="89"/>
      <c r="F14" s="89"/>
      <c r="G14" s="91"/>
      <c r="H14" s="91"/>
      <c r="I14" s="91"/>
      <c r="J14" s="91"/>
      <c r="K14" s="91"/>
      <c r="L14" s="91"/>
      <c r="M14" s="91"/>
      <c r="N14" s="91"/>
      <c r="O14" s="91"/>
      <c r="P14" s="93"/>
      <c r="Q14" s="14"/>
      <c r="R14" s="23"/>
      <c r="S14" s="23"/>
      <c r="T14" s="23"/>
      <c r="U14" s="23"/>
      <c r="V14" s="23"/>
      <c r="W14" s="23"/>
      <c r="X14" s="23"/>
      <c r="Y14" s="14"/>
      <c r="Z14" s="14"/>
      <c r="AA14" s="14"/>
      <c r="AB14" s="14"/>
      <c r="AC14" s="14"/>
      <c r="AD14" s="14"/>
      <c r="AE14" s="14"/>
    </row>
    <row r="15" spans="1:31" s="17" customFormat="1" ht="12.75" customHeight="1" thickBot="1" x14ac:dyDescent="0.25">
      <c r="A15" s="14"/>
      <c r="B15" s="33" t="s">
        <v>7</v>
      </c>
      <c r="C15" s="45"/>
      <c r="D15" s="69" t="s">
        <v>14</v>
      </c>
      <c r="E15" s="69"/>
      <c r="F15" s="69"/>
      <c r="G15" s="34" t="s">
        <v>8</v>
      </c>
      <c r="H15" s="34" t="s">
        <v>9</v>
      </c>
      <c r="I15" s="34" t="s">
        <v>88</v>
      </c>
      <c r="J15" s="34" t="s">
        <v>89</v>
      </c>
      <c r="K15" s="34" t="s">
        <v>90</v>
      </c>
      <c r="L15" s="34" t="s">
        <v>91</v>
      </c>
      <c r="M15" s="34" t="s">
        <v>10</v>
      </c>
      <c r="N15" s="94"/>
      <c r="O15" s="94"/>
      <c r="P15" s="95"/>
      <c r="Q15" s="14"/>
      <c r="R15" s="24"/>
      <c r="S15" s="24"/>
      <c r="T15" s="24"/>
      <c r="U15" s="24"/>
      <c r="V15" s="24"/>
      <c r="W15" s="24"/>
      <c r="X15" s="24"/>
      <c r="Y15" s="14"/>
      <c r="Z15" s="14"/>
      <c r="AA15" s="14"/>
      <c r="AB15" s="14"/>
      <c r="AC15" s="14"/>
      <c r="AD15" s="14"/>
      <c r="AE15" s="14"/>
    </row>
    <row r="16" spans="1:31" ht="12.75" customHeight="1" x14ac:dyDescent="0.2">
      <c r="A16" s="1"/>
      <c r="B16" s="1"/>
      <c r="C16" s="1"/>
      <c r="D16" s="3"/>
      <c r="E16" s="3"/>
      <c r="F16" s="3"/>
      <c r="G16" s="4"/>
      <c r="H16" s="4"/>
      <c r="I16" s="4"/>
      <c r="J16" s="4"/>
      <c r="K16" s="4"/>
      <c r="L16" s="4"/>
      <c r="M16" s="4"/>
      <c r="N16" s="5"/>
      <c r="O16" s="5"/>
      <c r="P16" s="5"/>
      <c r="Q16" s="1"/>
      <c r="R16" s="8"/>
      <c r="S16" s="8"/>
      <c r="T16" s="8"/>
      <c r="U16" s="8"/>
      <c r="V16" s="8"/>
      <c r="W16" s="8"/>
      <c r="X16" s="8"/>
      <c r="Y16" s="1"/>
      <c r="Z16" s="1"/>
      <c r="AA16" s="1"/>
      <c r="AB16" s="1"/>
      <c r="AC16" s="1"/>
      <c r="AD16" s="1"/>
      <c r="AE16" s="1"/>
    </row>
    <row r="17" spans="1:31" ht="28" x14ac:dyDescent="0.2">
      <c r="A17" s="1"/>
      <c r="B17" s="26">
        <v>1</v>
      </c>
      <c r="C17" s="54" t="s">
        <v>20</v>
      </c>
      <c r="D17" s="70" t="s">
        <v>21</v>
      </c>
      <c r="E17" s="71"/>
      <c r="F17" s="72"/>
      <c r="G17" s="25">
        <f>20/54</f>
        <v>0.37037037037037035</v>
      </c>
      <c r="H17" s="6">
        <f t="shared" ref="H17:H50" si="0">M17/$G$71*G17*2</f>
        <v>0.29629629629629634</v>
      </c>
      <c r="I17" s="6">
        <v>9</v>
      </c>
      <c r="J17" s="6">
        <v>8</v>
      </c>
      <c r="K17" s="6">
        <v>7</v>
      </c>
      <c r="L17" s="6">
        <v>8</v>
      </c>
      <c r="M17" s="7">
        <f>AVERAGE(I17:L17)</f>
        <v>8</v>
      </c>
      <c r="N17" s="73"/>
      <c r="O17" s="74"/>
      <c r="P17" s="75"/>
      <c r="Q17" s="8"/>
      <c r="R17" s="43"/>
      <c r="S17" s="44"/>
      <c r="T17" s="11"/>
      <c r="U17" s="12"/>
      <c r="V17" s="12"/>
      <c r="W17" s="10"/>
      <c r="X17" s="11"/>
      <c r="Y17" s="1"/>
      <c r="Z17" s="1"/>
      <c r="AA17" s="1"/>
      <c r="AB17" s="1"/>
      <c r="AC17" s="1"/>
      <c r="AD17" s="1"/>
      <c r="AE17" s="1"/>
    </row>
    <row r="18" spans="1:31" x14ac:dyDescent="0.2">
      <c r="A18" s="1"/>
      <c r="B18" s="26">
        <v>2</v>
      </c>
      <c r="C18" s="76" t="s">
        <v>22</v>
      </c>
      <c r="D18" s="79" t="s">
        <v>24</v>
      </c>
      <c r="E18" s="70"/>
      <c r="F18" s="80"/>
      <c r="G18" s="25">
        <f t="shared" ref="G18:G70" si="1">20/54</f>
        <v>0.37037037037037035</v>
      </c>
      <c r="H18" s="6">
        <f t="shared" si="0"/>
        <v>0.29629629629629634</v>
      </c>
      <c r="I18" s="6">
        <v>9</v>
      </c>
      <c r="J18" s="6">
        <v>8</v>
      </c>
      <c r="K18" s="6">
        <v>7</v>
      </c>
      <c r="L18" s="6">
        <v>8</v>
      </c>
      <c r="M18" s="7">
        <f t="shared" ref="M18:M70" si="2">AVERAGE(I18:L18)</f>
        <v>8</v>
      </c>
      <c r="N18" s="48"/>
      <c r="O18" s="49"/>
      <c r="P18" s="50"/>
      <c r="Q18" s="8"/>
      <c r="R18" s="43"/>
      <c r="S18" s="44"/>
      <c r="T18" s="11"/>
      <c r="U18" s="12"/>
      <c r="V18" s="12"/>
      <c r="W18" s="10"/>
      <c r="X18" s="11"/>
      <c r="Y18" s="1"/>
      <c r="Z18" s="1"/>
      <c r="AA18" s="1"/>
      <c r="AB18" s="1"/>
      <c r="AC18" s="1"/>
      <c r="AD18" s="1"/>
      <c r="AE18" s="1"/>
    </row>
    <row r="19" spans="1:31" x14ac:dyDescent="0.2">
      <c r="A19" s="1"/>
      <c r="B19" s="26">
        <v>3</v>
      </c>
      <c r="C19" s="77"/>
      <c r="D19" s="79" t="s">
        <v>23</v>
      </c>
      <c r="E19" s="70"/>
      <c r="F19" s="80"/>
      <c r="G19" s="25">
        <f t="shared" si="1"/>
        <v>0.37037037037037035</v>
      </c>
      <c r="H19" s="6">
        <f t="shared" si="0"/>
        <v>0.29629629629629634</v>
      </c>
      <c r="I19" s="6">
        <v>9</v>
      </c>
      <c r="J19" s="6">
        <v>8</v>
      </c>
      <c r="K19" s="6">
        <v>7</v>
      </c>
      <c r="L19" s="6">
        <v>8</v>
      </c>
      <c r="M19" s="7">
        <f t="shared" si="2"/>
        <v>8</v>
      </c>
      <c r="N19" s="48"/>
      <c r="O19" s="49"/>
      <c r="P19" s="50"/>
      <c r="Q19" s="8"/>
      <c r="R19" s="43"/>
      <c r="S19" s="44"/>
      <c r="T19" s="11"/>
      <c r="U19" s="12"/>
      <c r="V19" s="12"/>
      <c r="W19" s="10"/>
      <c r="X19" s="11"/>
      <c r="Y19" s="1"/>
      <c r="Z19" s="1"/>
      <c r="AA19" s="1"/>
      <c r="AB19" s="1"/>
      <c r="AC19" s="1"/>
      <c r="AD19" s="1"/>
      <c r="AE19" s="1"/>
    </row>
    <row r="20" spans="1:31" x14ac:dyDescent="0.2">
      <c r="A20" s="1"/>
      <c r="B20" s="26">
        <v>4</v>
      </c>
      <c r="C20" s="78"/>
      <c r="D20" s="81" t="s">
        <v>25</v>
      </c>
      <c r="E20" s="82"/>
      <c r="F20" s="83"/>
      <c r="G20" s="25">
        <f t="shared" si="1"/>
        <v>0.37037037037037035</v>
      </c>
      <c r="H20" s="6">
        <f t="shared" si="0"/>
        <v>0.29629629629629634</v>
      </c>
      <c r="I20" s="6">
        <v>9</v>
      </c>
      <c r="J20" s="6">
        <v>8</v>
      </c>
      <c r="K20" s="6">
        <v>7</v>
      </c>
      <c r="L20" s="6">
        <v>8</v>
      </c>
      <c r="M20" s="7">
        <f t="shared" si="2"/>
        <v>8</v>
      </c>
      <c r="N20" s="48"/>
      <c r="O20" s="49"/>
      <c r="P20" s="50"/>
      <c r="Q20" s="8"/>
      <c r="R20" s="43"/>
      <c r="S20" s="44"/>
      <c r="T20" s="11"/>
      <c r="U20" s="12"/>
      <c r="V20" s="12"/>
      <c r="W20" s="10"/>
      <c r="X20" s="11"/>
      <c r="Y20" s="1"/>
      <c r="Z20" s="1"/>
      <c r="AA20" s="1"/>
      <c r="AB20" s="1"/>
      <c r="AC20" s="1"/>
      <c r="AD20" s="1"/>
      <c r="AE20" s="1"/>
    </row>
    <row r="21" spans="1:31" x14ac:dyDescent="0.2">
      <c r="A21" s="1"/>
      <c r="B21" s="26">
        <v>5</v>
      </c>
      <c r="C21" s="76" t="s">
        <v>17</v>
      </c>
      <c r="D21" s="79" t="s">
        <v>26</v>
      </c>
      <c r="E21" s="70"/>
      <c r="F21" s="80"/>
      <c r="G21" s="25">
        <f t="shared" si="1"/>
        <v>0.37037037037037035</v>
      </c>
      <c r="H21" s="6">
        <f t="shared" si="0"/>
        <v>0.29629629629629634</v>
      </c>
      <c r="I21" s="6">
        <v>9</v>
      </c>
      <c r="J21" s="6">
        <v>8</v>
      </c>
      <c r="K21" s="6">
        <v>7</v>
      </c>
      <c r="L21" s="6">
        <v>8</v>
      </c>
      <c r="M21" s="7">
        <f t="shared" si="2"/>
        <v>8</v>
      </c>
      <c r="N21" s="48"/>
      <c r="O21" s="49"/>
      <c r="P21" s="50"/>
      <c r="Q21" s="8"/>
      <c r="R21" s="43"/>
      <c r="S21" s="44"/>
      <c r="T21" s="11"/>
      <c r="U21" s="12"/>
      <c r="V21" s="12"/>
      <c r="W21" s="10"/>
      <c r="X21" s="11"/>
      <c r="Y21" s="1"/>
      <c r="Z21" s="1"/>
      <c r="AA21" s="1"/>
      <c r="AB21" s="1"/>
      <c r="AC21" s="1"/>
      <c r="AD21" s="1"/>
      <c r="AE21" s="1"/>
    </row>
    <row r="22" spans="1:31" ht="25.5" customHeight="1" x14ac:dyDescent="0.2">
      <c r="A22" s="1"/>
      <c r="B22" s="26">
        <v>6</v>
      </c>
      <c r="C22" s="77"/>
      <c r="D22" s="79" t="s">
        <v>27</v>
      </c>
      <c r="E22" s="70"/>
      <c r="F22" s="80"/>
      <c r="G22" s="25">
        <f t="shared" si="1"/>
        <v>0.37037037037037035</v>
      </c>
      <c r="H22" s="6">
        <f t="shared" si="0"/>
        <v>0.29629629629629634</v>
      </c>
      <c r="I22" s="6">
        <v>9</v>
      </c>
      <c r="J22" s="6">
        <v>8</v>
      </c>
      <c r="K22" s="6">
        <v>7</v>
      </c>
      <c r="L22" s="6">
        <v>8</v>
      </c>
      <c r="M22" s="7">
        <f t="shared" si="2"/>
        <v>8</v>
      </c>
      <c r="N22" s="48"/>
      <c r="O22" s="49"/>
      <c r="P22" s="50"/>
      <c r="Q22" s="8"/>
      <c r="R22" s="43"/>
      <c r="S22" s="44"/>
      <c r="T22" s="11"/>
      <c r="U22" s="12"/>
      <c r="V22" s="12"/>
      <c r="W22" s="10"/>
      <c r="X22" s="11"/>
      <c r="Y22" s="1"/>
      <c r="Z22" s="1"/>
      <c r="AA22" s="1"/>
      <c r="AB22" s="1"/>
      <c r="AC22" s="1"/>
      <c r="AD22" s="1"/>
      <c r="AE22" s="1"/>
    </row>
    <row r="23" spans="1:31" x14ac:dyDescent="0.2">
      <c r="A23" s="1"/>
      <c r="B23" s="26">
        <v>7</v>
      </c>
      <c r="C23" s="78"/>
      <c r="D23" s="79" t="s">
        <v>28</v>
      </c>
      <c r="E23" s="70"/>
      <c r="F23" s="80"/>
      <c r="G23" s="25">
        <f t="shared" si="1"/>
        <v>0.37037037037037035</v>
      </c>
      <c r="H23" s="6">
        <f t="shared" si="0"/>
        <v>0.29629629629629634</v>
      </c>
      <c r="I23" s="6">
        <v>9</v>
      </c>
      <c r="J23" s="6">
        <v>8</v>
      </c>
      <c r="K23" s="6">
        <v>7</v>
      </c>
      <c r="L23" s="6">
        <v>8</v>
      </c>
      <c r="M23" s="7">
        <f t="shared" si="2"/>
        <v>8</v>
      </c>
      <c r="N23" s="48"/>
      <c r="O23" s="49"/>
      <c r="P23" s="50"/>
      <c r="Q23" s="8"/>
      <c r="R23" s="43"/>
      <c r="S23" s="44"/>
      <c r="T23" s="11"/>
      <c r="U23" s="12"/>
      <c r="V23" s="12"/>
      <c r="W23" s="10"/>
      <c r="X23" s="11"/>
      <c r="Y23" s="1"/>
      <c r="Z23" s="1"/>
      <c r="AA23" s="1"/>
      <c r="AB23" s="1"/>
      <c r="AC23" s="1"/>
      <c r="AD23" s="1"/>
      <c r="AE23" s="1"/>
    </row>
    <row r="24" spans="1:31" ht="30" customHeight="1" x14ac:dyDescent="0.2">
      <c r="A24" s="1"/>
      <c r="B24" s="26">
        <v>8</v>
      </c>
      <c r="C24" s="96" t="s">
        <v>29</v>
      </c>
      <c r="D24" s="79" t="s">
        <v>30</v>
      </c>
      <c r="E24" s="70"/>
      <c r="F24" s="80"/>
      <c r="G24" s="25">
        <f t="shared" si="1"/>
        <v>0.37037037037037035</v>
      </c>
      <c r="H24" s="6">
        <f t="shared" si="0"/>
        <v>0.29629629629629634</v>
      </c>
      <c r="I24" s="6">
        <v>9</v>
      </c>
      <c r="J24" s="6">
        <v>8</v>
      </c>
      <c r="K24" s="6">
        <v>7</v>
      </c>
      <c r="L24" s="6">
        <v>8</v>
      </c>
      <c r="M24" s="7">
        <f t="shared" si="2"/>
        <v>8</v>
      </c>
      <c r="N24" s="48"/>
      <c r="O24" s="49"/>
      <c r="P24" s="50"/>
      <c r="Q24" s="8"/>
      <c r="R24" s="43"/>
      <c r="S24" s="44"/>
      <c r="T24" s="11"/>
      <c r="U24" s="12"/>
      <c r="V24" s="12"/>
      <c r="W24" s="10"/>
      <c r="X24" s="11"/>
      <c r="Y24" s="1"/>
      <c r="Z24" s="1"/>
      <c r="AA24" s="1"/>
      <c r="AB24" s="1"/>
      <c r="AC24" s="1"/>
      <c r="AD24" s="1"/>
      <c r="AE24" s="1"/>
    </row>
    <row r="25" spans="1:31" ht="27.75" customHeight="1" x14ac:dyDescent="0.2">
      <c r="A25" s="1"/>
      <c r="B25" s="26">
        <v>9</v>
      </c>
      <c r="C25" s="97"/>
      <c r="D25" s="79" t="s">
        <v>31</v>
      </c>
      <c r="E25" s="70"/>
      <c r="F25" s="80"/>
      <c r="G25" s="25">
        <f t="shared" si="1"/>
        <v>0.37037037037037035</v>
      </c>
      <c r="H25" s="6">
        <f t="shared" si="0"/>
        <v>0.29629629629629634</v>
      </c>
      <c r="I25" s="6">
        <v>9</v>
      </c>
      <c r="J25" s="6">
        <v>8</v>
      </c>
      <c r="K25" s="6">
        <v>7</v>
      </c>
      <c r="L25" s="6">
        <v>8</v>
      </c>
      <c r="M25" s="7">
        <f t="shared" si="2"/>
        <v>8</v>
      </c>
      <c r="N25" s="48"/>
      <c r="O25" s="49"/>
      <c r="P25" s="50"/>
      <c r="Q25" s="8"/>
      <c r="R25" s="43"/>
      <c r="S25" s="44"/>
      <c r="T25" s="11"/>
      <c r="U25" s="12"/>
      <c r="V25" s="12"/>
      <c r="W25" s="10"/>
      <c r="X25" s="11"/>
      <c r="Y25" s="1"/>
      <c r="Z25" s="1"/>
      <c r="AA25" s="1"/>
      <c r="AB25" s="1"/>
      <c r="AC25" s="1"/>
      <c r="AD25" s="1"/>
      <c r="AE25" s="1"/>
    </row>
    <row r="26" spans="1:31" ht="26.25" customHeight="1" x14ac:dyDescent="0.2">
      <c r="A26" s="1"/>
      <c r="B26" s="26">
        <v>10</v>
      </c>
      <c r="C26" s="98"/>
      <c r="D26" s="79" t="s">
        <v>32</v>
      </c>
      <c r="E26" s="70"/>
      <c r="F26" s="80"/>
      <c r="G26" s="25">
        <f t="shared" si="1"/>
        <v>0.37037037037037035</v>
      </c>
      <c r="H26" s="6">
        <f t="shared" si="0"/>
        <v>0.29629629629629634</v>
      </c>
      <c r="I26" s="6">
        <v>9</v>
      </c>
      <c r="J26" s="6">
        <v>8</v>
      </c>
      <c r="K26" s="6">
        <v>7</v>
      </c>
      <c r="L26" s="6">
        <v>8</v>
      </c>
      <c r="M26" s="7">
        <f t="shared" si="2"/>
        <v>8</v>
      </c>
      <c r="N26" s="48"/>
      <c r="O26" s="49"/>
      <c r="P26" s="50"/>
      <c r="Q26" s="8"/>
      <c r="R26" s="43"/>
      <c r="S26" s="44"/>
      <c r="T26" s="11"/>
      <c r="U26" s="12"/>
      <c r="V26" s="12"/>
      <c r="W26" s="10"/>
      <c r="X26" s="11"/>
      <c r="Y26" s="1"/>
      <c r="Z26" s="1"/>
      <c r="AA26" s="1"/>
      <c r="AB26" s="1"/>
      <c r="AC26" s="1"/>
      <c r="AD26" s="1"/>
      <c r="AE26" s="1"/>
    </row>
    <row r="27" spans="1:31" ht="25.5" customHeight="1" x14ac:dyDescent="0.2">
      <c r="A27" s="1"/>
      <c r="B27" s="26">
        <v>11</v>
      </c>
      <c r="C27" s="76" t="s">
        <v>33</v>
      </c>
      <c r="D27" s="79" t="s">
        <v>34</v>
      </c>
      <c r="E27" s="70"/>
      <c r="F27" s="80"/>
      <c r="G27" s="25">
        <f t="shared" si="1"/>
        <v>0.37037037037037035</v>
      </c>
      <c r="H27" s="6">
        <f t="shared" si="0"/>
        <v>0.29629629629629634</v>
      </c>
      <c r="I27" s="6">
        <v>9</v>
      </c>
      <c r="J27" s="6">
        <v>8</v>
      </c>
      <c r="K27" s="6">
        <v>7</v>
      </c>
      <c r="L27" s="6">
        <v>8</v>
      </c>
      <c r="M27" s="7">
        <f t="shared" si="2"/>
        <v>8</v>
      </c>
      <c r="N27" s="48"/>
      <c r="O27" s="49"/>
      <c r="P27" s="50"/>
      <c r="Q27" s="8"/>
      <c r="R27" s="43"/>
      <c r="S27" s="44"/>
      <c r="T27" s="11"/>
      <c r="U27" s="12"/>
      <c r="V27" s="12"/>
      <c r="W27" s="10"/>
      <c r="X27" s="11"/>
      <c r="Y27" s="1"/>
      <c r="Z27" s="1"/>
      <c r="AA27" s="1"/>
      <c r="AB27" s="1"/>
      <c r="AC27" s="1"/>
      <c r="AD27" s="1"/>
      <c r="AE27" s="1"/>
    </row>
    <row r="28" spans="1:31" ht="26.25" customHeight="1" x14ac:dyDescent="0.2">
      <c r="A28" s="1"/>
      <c r="B28" s="26">
        <v>12</v>
      </c>
      <c r="C28" s="77"/>
      <c r="D28" s="79" t="s">
        <v>35</v>
      </c>
      <c r="E28" s="70"/>
      <c r="F28" s="80"/>
      <c r="G28" s="25">
        <f t="shared" si="1"/>
        <v>0.37037037037037035</v>
      </c>
      <c r="H28" s="6">
        <f t="shared" si="0"/>
        <v>0.29629629629629634</v>
      </c>
      <c r="I28" s="6">
        <v>9</v>
      </c>
      <c r="J28" s="6">
        <v>8</v>
      </c>
      <c r="K28" s="6">
        <v>7</v>
      </c>
      <c r="L28" s="6">
        <v>8</v>
      </c>
      <c r="M28" s="7">
        <f t="shared" si="2"/>
        <v>8</v>
      </c>
      <c r="N28" s="48"/>
      <c r="O28" s="49"/>
      <c r="P28" s="50"/>
      <c r="Q28" s="8"/>
      <c r="R28" s="43"/>
      <c r="S28" s="44"/>
      <c r="T28" s="11"/>
      <c r="U28" s="12"/>
      <c r="V28" s="12"/>
      <c r="W28" s="10"/>
      <c r="X28" s="11"/>
      <c r="Y28" s="1"/>
      <c r="Z28" s="1"/>
      <c r="AA28" s="1"/>
      <c r="AB28" s="1"/>
      <c r="AC28" s="1"/>
      <c r="AD28" s="1"/>
      <c r="AE28" s="1"/>
    </row>
    <row r="29" spans="1:31" ht="28.5" customHeight="1" x14ac:dyDescent="0.2">
      <c r="A29" s="1"/>
      <c r="B29" s="26">
        <v>13</v>
      </c>
      <c r="C29" s="78"/>
      <c r="D29" s="79" t="s">
        <v>36</v>
      </c>
      <c r="E29" s="70"/>
      <c r="F29" s="80"/>
      <c r="G29" s="25">
        <f t="shared" si="1"/>
        <v>0.37037037037037035</v>
      </c>
      <c r="H29" s="6">
        <f t="shared" si="0"/>
        <v>0.29629629629629634</v>
      </c>
      <c r="I29" s="6">
        <v>9</v>
      </c>
      <c r="J29" s="6">
        <v>8</v>
      </c>
      <c r="K29" s="6">
        <v>7</v>
      </c>
      <c r="L29" s="6">
        <v>8</v>
      </c>
      <c r="M29" s="7">
        <f t="shared" si="2"/>
        <v>8</v>
      </c>
      <c r="N29" s="48"/>
      <c r="O29" s="49"/>
      <c r="P29" s="50"/>
      <c r="Q29" s="8"/>
      <c r="R29" s="43"/>
      <c r="S29" s="44"/>
      <c r="T29" s="11"/>
      <c r="U29" s="12"/>
      <c r="V29" s="12"/>
      <c r="W29" s="10"/>
      <c r="X29" s="11"/>
      <c r="Y29" s="1"/>
      <c r="Z29" s="1"/>
      <c r="AA29" s="1"/>
      <c r="AB29" s="1"/>
      <c r="AC29" s="1"/>
      <c r="AD29" s="1"/>
      <c r="AE29" s="1"/>
    </row>
    <row r="30" spans="1:31" x14ac:dyDescent="0.2">
      <c r="A30" s="1"/>
      <c r="B30" s="26">
        <v>14</v>
      </c>
      <c r="C30" s="76" t="s">
        <v>37</v>
      </c>
      <c r="D30" s="79" t="s">
        <v>38</v>
      </c>
      <c r="E30" s="70"/>
      <c r="F30" s="80"/>
      <c r="G30" s="25">
        <f t="shared" si="1"/>
        <v>0.37037037037037035</v>
      </c>
      <c r="H30" s="6">
        <f t="shared" si="0"/>
        <v>0.29629629629629634</v>
      </c>
      <c r="I30" s="6">
        <v>9</v>
      </c>
      <c r="J30" s="6">
        <v>8</v>
      </c>
      <c r="K30" s="6">
        <v>7</v>
      </c>
      <c r="L30" s="6">
        <v>8</v>
      </c>
      <c r="M30" s="7">
        <f t="shared" si="2"/>
        <v>8</v>
      </c>
      <c r="N30" s="48"/>
      <c r="O30" s="49"/>
      <c r="P30" s="50"/>
      <c r="Q30" s="8"/>
      <c r="R30" s="43"/>
      <c r="S30" s="44"/>
      <c r="T30" s="11"/>
      <c r="U30" s="12"/>
      <c r="V30" s="12"/>
      <c r="W30" s="10"/>
      <c r="X30" s="11"/>
      <c r="Y30" s="1"/>
      <c r="Z30" s="1"/>
      <c r="AA30" s="1"/>
      <c r="AB30" s="1"/>
      <c r="AC30" s="1"/>
      <c r="AD30" s="1"/>
      <c r="AE30" s="1"/>
    </row>
    <row r="31" spans="1:31" x14ac:dyDescent="0.2">
      <c r="A31" s="1"/>
      <c r="B31" s="26">
        <v>15</v>
      </c>
      <c r="C31" s="78"/>
      <c r="D31" s="79" t="s">
        <v>39</v>
      </c>
      <c r="E31" s="70"/>
      <c r="F31" s="80"/>
      <c r="G31" s="25">
        <f t="shared" si="1"/>
        <v>0.37037037037037035</v>
      </c>
      <c r="H31" s="6">
        <f t="shared" si="0"/>
        <v>0.29629629629629634</v>
      </c>
      <c r="I31" s="6">
        <v>9</v>
      </c>
      <c r="J31" s="6">
        <v>8</v>
      </c>
      <c r="K31" s="6">
        <v>7</v>
      </c>
      <c r="L31" s="6">
        <v>8</v>
      </c>
      <c r="M31" s="7">
        <f t="shared" si="2"/>
        <v>8</v>
      </c>
      <c r="N31" s="48"/>
      <c r="O31" s="49"/>
      <c r="P31" s="50"/>
      <c r="Q31" s="8"/>
      <c r="R31" s="43"/>
      <c r="S31" s="44"/>
      <c r="T31" s="11"/>
      <c r="U31" s="12"/>
      <c r="V31" s="12"/>
      <c r="W31" s="10"/>
      <c r="X31" s="11"/>
      <c r="Y31" s="1"/>
      <c r="Z31" s="1"/>
      <c r="AA31" s="1"/>
      <c r="AB31" s="1"/>
      <c r="AC31" s="1"/>
      <c r="AD31" s="1"/>
      <c r="AE31" s="1"/>
    </row>
    <row r="32" spans="1:31" ht="24.75" customHeight="1" x14ac:dyDescent="0.2">
      <c r="A32" s="1"/>
      <c r="B32" s="26">
        <v>16</v>
      </c>
      <c r="C32" s="55" t="s">
        <v>40</v>
      </c>
      <c r="D32" s="79" t="s">
        <v>41</v>
      </c>
      <c r="E32" s="70"/>
      <c r="F32" s="80"/>
      <c r="G32" s="25">
        <f t="shared" si="1"/>
        <v>0.37037037037037035</v>
      </c>
      <c r="H32" s="6">
        <f t="shared" si="0"/>
        <v>0.29629629629629634</v>
      </c>
      <c r="I32" s="6">
        <v>9</v>
      </c>
      <c r="J32" s="6">
        <v>8</v>
      </c>
      <c r="K32" s="6">
        <v>7</v>
      </c>
      <c r="L32" s="6">
        <v>8</v>
      </c>
      <c r="M32" s="7">
        <f t="shared" si="2"/>
        <v>8</v>
      </c>
      <c r="N32" s="48"/>
      <c r="O32" s="49"/>
      <c r="P32" s="50"/>
      <c r="Q32" s="8"/>
      <c r="R32" s="43"/>
      <c r="S32" s="44"/>
      <c r="T32" s="11"/>
      <c r="U32" s="12"/>
      <c r="V32" s="12"/>
      <c r="W32" s="10"/>
      <c r="X32" s="11"/>
      <c r="Y32" s="1"/>
      <c r="Z32" s="1"/>
      <c r="AA32" s="1"/>
      <c r="AB32" s="1"/>
      <c r="AC32" s="1"/>
      <c r="AD32" s="1"/>
      <c r="AE32" s="1"/>
    </row>
    <row r="33" spans="1:31" ht="24" customHeight="1" x14ac:dyDescent="0.2">
      <c r="A33" s="1"/>
      <c r="B33" s="26">
        <v>17</v>
      </c>
      <c r="C33" s="76" t="s">
        <v>42</v>
      </c>
      <c r="D33" s="79" t="s">
        <v>43</v>
      </c>
      <c r="E33" s="70"/>
      <c r="F33" s="80"/>
      <c r="G33" s="25">
        <f t="shared" si="1"/>
        <v>0.37037037037037035</v>
      </c>
      <c r="H33" s="6">
        <f t="shared" si="0"/>
        <v>0.29629629629629634</v>
      </c>
      <c r="I33" s="6">
        <v>9</v>
      </c>
      <c r="J33" s="6">
        <v>8</v>
      </c>
      <c r="K33" s="6">
        <v>7</v>
      </c>
      <c r="L33" s="6">
        <v>8</v>
      </c>
      <c r="M33" s="7">
        <f t="shared" si="2"/>
        <v>8</v>
      </c>
      <c r="N33" s="48"/>
      <c r="O33" s="49"/>
      <c r="P33" s="50"/>
      <c r="Q33" s="8"/>
      <c r="R33" s="43"/>
      <c r="S33" s="44"/>
      <c r="T33" s="11"/>
      <c r="U33" s="12"/>
      <c r="V33" s="12"/>
      <c r="W33" s="10"/>
      <c r="X33" s="11"/>
      <c r="Y33" s="1"/>
      <c r="Z33" s="1"/>
      <c r="AA33" s="1"/>
      <c r="AB33" s="1"/>
      <c r="AC33" s="1"/>
      <c r="AD33" s="1"/>
      <c r="AE33" s="1"/>
    </row>
    <row r="34" spans="1:31" x14ac:dyDescent="0.2">
      <c r="A34" s="1"/>
      <c r="B34" s="26">
        <v>18</v>
      </c>
      <c r="C34" s="77"/>
      <c r="D34" s="79" t="s">
        <v>44</v>
      </c>
      <c r="E34" s="70"/>
      <c r="F34" s="80"/>
      <c r="G34" s="25">
        <f t="shared" si="1"/>
        <v>0.37037037037037035</v>
      </c>
      <c r="H34" s="6">
        <f t="shared" si="0"/>
        <v>0.29629629629629634</v>
      </c>
      <c r="I34" s="6">
        <v>9</v>
      </c>
      <c r="J34" s="6">
        <v>8</v>
      </c>
      <c r="K34" s="6">
        <v>7</v>
      </c>
      <c r="L34" s="6">
        <v>8</v>
      </c>
      <c r="M34" s="7">
        <f t="shared" si="2"/>
        <v>8</v>
      </c>
      <c r="N34" s="48"/>
      <c r="O34" s="49"/>
      <c r="P34" s="50"/>
      <c r="Q34" s="8"/>
      <c r="R34" s="43"/>
      <c r="S34" s="44"/>
      <c r="T34" s="11"/>
      <c r="U34" s="12"/>
      <c r="V34" s="12"/>
      <c r="W34" s="10"/>
      <c r="X34" s="11"/>
      <c r="Y34" s="1"/>
      <c r="Z34" s="1"/>
      <c r="AA34" s="1"/>
      <c r="AB34" s="1"/>
      <c r="AC34" s="1"/>
      <c r="AD34" s="1"/>
      <c r="AE34" s="1"/>
    </row>
    <row r="35" spans="1:31" x14ac:dyDescent="0.2">
      <c r="A35" s="1"/>
      <c r="B35" s="26">
        <v>19</v>
      </c>
      <c r="C35" s="78"/>
      <c r="D35" s="79" t="s">
        <v>45</v>
      </c>
      <c r="E35" s="70"/>
      <c r="F35" s="80"/>
      <c r="G35" s="25">
        <f t="shared" si="1"/>
        <v>0.37037037037037035</v>
      </c>
      <c r="H35" s="6">
        <f t="shared" si="0"/>
        <v>0.29629629629629634</v>
      </c>
      <c r="I35" s="6">
        <v>9</v>
      </c>
      <c r="J35" s="6">
        <v>8</v>
      </c>
      <c r="K35" s="6">
        <v>7</v>
      </c>
      <c r="L35" s="6">
        <v>8</v>
      </c>
      <c r="M35" s="7">
        <f t="shared" si="2"/>
        <v>8</v>
      </c>
      <c r="N35" s="48"/>
      <c r="O35" s="49"/>
      <c r="P35" s="50"/>
      <c r="Q35" s="8"/>
      <c r="R35" s="43"/>
      <c r="S35" s="44"/>
      <c r="T35" s="11"/>
      <c r="U35" s="12"/>
      <c r="V35" s="12"/>
      <c r="W35" s="10"/>
      <c r="X35" s="11"/>
      <c r="Y35" s="1"/>
      <c r="Z35" s="1"/>
      <c r="AA35" s="1"/>
      <c r="AB35" s="1"/>
      <c r="AC35" s="1"/>
      <c r="AD35" s="1"/>
      <c r="AE35" s="1"/>
    </row>
    <row r="36" spans="1:31" x14ac:dyDescent="0.2">
      <c r="A36" s="1"/>
      <c r="B36" s="26">
        <v>20</v>
      </c>
      <c r="C36" s="76" t="s">
        <v>46</v>
      </c>
      <c r="D36" s="51" t="s">
        <v>92</v>
      </c>
      <c r="E36" s="47"/>
      <c r="F36" s="52"/>
      <c r="G36" s="25">
        <f t="shared" si="1"/>
        <v>0.37037037037037035</v>
      </c>
      <c r="H36" s="6">
        <f t="shared" si="0"/>
        <v>0.29629629629629634</v>
      </c>
      <c r="I36" s="6">
        <v>9</v>
      </c>
      <c r="J36" s="6">
        <v>8</v>
      </c>
      <c r="K36" s="6">
        <v>7</v>
      </c>
      <c r="L36" s="6">
        <v>8</v>
      </c>
      <c r="M36" s="7">
        <f t="shared" si="2"/>
        <v>8</v>
      </c>
      <c r="N36" s="48"/>
      <c r="O36" s="49"/>
      <c r="P36" s="50"/>
      <c r="Q36" s="8"/>
      <c r="R36" s="43"/>
      <c r="S36" s="44"/>
      <c r="T36" s="11"/>
      <c r="U36" s="12"/>
      <c r="V36" s="12"/>
      <c r="W36" s="10"/>
      <c r="X36" s="11"/>
      <c r="Y36" s="1"/>
      <c r="Z36" s="1"/>
      <c r="AA36" s="1"/>
      <c r="AB36" s="1"/>
      <c r="AC36" s="1"/>
      <c r="AD36" s="1"/>
      <c r="AE36" s="1"/>
    </row>
    <row r="37" spans="1:31" x14ac:dyDescent="0.2">
      <c r="A37" s="1"/>
      <c r="B37" s="26">
        <v>21</v>
      </c>
      <c r="C37" s="77"/>
      <c r="D37" s="51" t="s">
        <v>93</v>
      </c>
      <c r="E37" s="47"/>
      <c r="F37" s="52"/>
      <c r="G37" s="25">
        <f t="shared" si="1"/>
        <v>0.37037037037037035</v>
      </c>
      <c r="H37" s="6">
        <f t="shared" si="0"/>
        <v>0.29629629629629634</v>
      </c>
      <c r="I37" s="6">
        <v>9</v>
      </c>
      <c r="J37" s="6">
        <v>8</v>
      </c>
      <c r="K37" s="6">
        <v>7</v>
      </c>
      <c r="L37" s="6">
        <v>8</v>
      </c>
      <c r="M37" s="7">
        <f t="shared" si="2"/>
        <v>8</v>
      </c>
      <c r="N37" s="48"/>
      <c r="O37" s="49"/>
      <c r="P37" s="50"/>
      <c r="Q37" s="8"/>
      <c r="R37" s="43"/>
      <c r="S37" s="44"/>
      <c r="T37" s="11"/>
      <c r="U37" s="12"/>
      <c r="V37" s="12"/>
      <c r="W37" s="10"/>
      <c r="X37" s="11"/>
      <c r="Y37" s="1"/>
      <c r="Z37" s="1"/>
      <c r="AA37" s="1"/>
      <c r="AB37" s="1"/>
      <c r="AC37" s="1"/>
      <c r="AD37" s="1"/>
      <c r="AE37" s="1"/>
    </row>
    <row r="38" spans="1:31" x14ac:dyDescent="0.2">
      <c r="A38" s="1"/>
      <c r="B38" s="26">
        <v>22</v>
      </c>
      <c r="C38" s="77"/>
      <c r="D38" s="51" t="s">
        <v>47</v>
      </c>
      <c r="E38" s="47"/>
      <c r="F38" s="52"/>
      <c r="G38" s="25">
        <f t="shared" si="1"/>
        <v>0.37037037037037035</v>
      </c>
      <c r="H38" s="6">
        <f t="shared" si="0"/>
        <v>0.29629629629629634</v>
      </c>
      <c r="I38" s="6">
        <v>9</v>
      </c>
      <c r="J38" s="6">
        <v>8</v>
      </c>
      <c r="K38" s="6">
        <v>7</v>
      </c>
      <c r="L38" s="6">
        <v>8</v>
      </c>
      <c r="M38" s="7">
        <f t="shared" si="2"/>
        <v>8</v>
      </c>
      <c r="N38" s="48"/>
      <c r="O38" s="49"/>
      <c r="P38" s="50"/>
      <c r="Q38" s="8"/>
      <c r="R38" s="43"/>
      <c r="S38" s="44"/>
      <c r="T38" s="11"/>
      <c r="U38" s="12"/>
      <c r="V38" s="12"/>
      <c r="W38" s="10"/>
      <c r="X38" s="11"/>
      <c r="Y38" s="1"/>
      <c r="Z38" s="1"/>
      <c r="AA38" s="1"/>
      <c r="AB38" s="1"/>
      <c r="AC38" s="1"/>
      <c r="AD38" s="1"/>
      <c r="AE38" s="1"/>
    </row>
    <row r="39" spans="1:31" x14ac:dyDescent="0.2">
      <c r="A39" s="1"/>
      <c r="B39" s="26">
        <v>23</v>
      </c>
      <c r="C39" s="77"/>
      <c r="D39" s="51" t="s">
        <v>48</v>
      </c>
      <c r="E39" s="47"/>
      <c r="F39" s="52"/>
      <c r="G39" s="25">
        <f t="shared" si="1"/>
        <v>0.37037037037037035</v>
      </c>
      <c r="H39" s="6">
        <f t="shared" si="0"/>
        <v>0.29629629629629634</v>
      </c>
      <c r="I39" s="6">
        <v>9</v>
      </c>
      <c r="J39" s="6">
        <v>8</v>
      </c>
      <c r="K39" s="6">
        <v>7</v>
      </c>
      <c r="L39" s="6">
        <v>8</v>
      </c>
      <c r="M39" s="7">
        <f t="shared" si="2"/>
        <v>8</v>
      </c>
      <c r="N39" s="48"/>
      <c r="O39" s="49"/>
      <c r="P39" s="50"/>
      <c r="Q39" s="8"/>
      <c r="R39" s="43"/>
      <c r="S39" s="44"/>
      <c r="T39" s="11"/>
      <c r="U39" s="12"/>
      <c r="V39" s="12"/>
      <c r="W39" s="10"/>
      <c r="X39" s="11"/>
      <c r="Y39" s="1"/>
      <c r="Z39" s="1"/>
      <c r="AA39" s="1"/>
      <c r="AB39" s="1"/>
      <c r="AC39" s="1"/>
      <c r="AD39" s="1"/>
      <c r="AE39" s="1"/>
    </row>
    <row r="40" spans="1:31" x14ac:dyDescent="0.2">
      <c r="A40" s="1"/>
      <c r="B40" s="26">
        <v>24</v>
      </c>
      <c r="C40" s="77"/>
      <c r="D40" s="51" t="s">
        <v>49</v>
      </c>
      <c r="E40" s="47"/>
      <c r="F40" s="52"/>
      <c r="G40" s="25">
        <f t="shared" si="1"/>
        <v>0.37037037037037035</v>
      </c>
      <c r="H40" s="6">
        <f t="shared" si="0"/>
        <v>0.29629629629629634</v>
      </c>
      <c r="I40" s="6">
        <v>9</v>
      </c>
      <c r="J40" s="6">
        <v>8</v>
      </c>
      <c r="K40" s="6">
        <v>7</v>
      </c>
      <c r="L40" s="6">
        <v>8</v>
      </c>
      <c r="M40" s="7">
        <f t="shared" si="2"/>
        <v>8</v>
      </c>
      <c r="N40" s="48"/>
      <c r="O40" s="49"/>
      <c r="P40" s="50"/>
      <c r="Q40" s="8"/>
      <c r="R40" s="43"/>
      <c r="S40" s="44"/>
      <c r="T40" s="11"/>
      <c r="U40" s="12"/>
      <c r="V40" s="12"/>
      <c r="W40" s="10"/>
      <c r="X40" s="11"/>
      <c r="Y40" s="1"/>
      <c r="Z40" s="1"/>
      <c r="AA40" s="1"/>
      <c r="AB40" s="1"/>
      <c r="AC40" s="1"/>
      <c r="AD40" s="1"/>
      <c r="AE40" s="1"/>
    </row>
    <row r="41" spans="1:31" x14ac:dyDescent="0.2">
      <c r="A41" s="1"/>
      <c r="B41" s="26">
        <v>25</v>
      </c>
      <c r="C41" s="77"/>
      <c r="D41" s="51" t="s">
        <v>50</v>
      </c>
      <c r="E41" s="47"/>
      <c r="F41" s="52"/>
      <c r="G41" s="25">
        <f t="shared" si="1"/>
        <v>0.37037037037037035</v>
      </c>
      <c r="H41" s="6">
        <f t="shared" si="0"/>
        <v>0.29629629629629634</v>
      </c>
      <c r="I41" s="6">
        <v>9</v>
      </c>
      <c r="J41" s="6">
        <v>8</v>
      </c>
      <c r="K41" s="6">
        <v>7</v>
      </c>
      <c r="L41" s="6">
        <v>8</v>
      </c>
      <c r="M41" s="7">
        <f t="shared" si="2"/>
        <v>8</v>
      </c>
      <c r="N41" s="48"/>
      <c r="O41" s="49"/>
      <c r="P41" s="50"/>
      <c r="Q41" s="8"/>
      <c r="R41" s="43"/>
      <c r="S41" s="44"/>
      <c r="T41" s="11"/>
      <c r="U41" s="12"/>
      <c r="V41" s="12"/>
      <c r="W41" s="10"/>
      <c r="X41" s="11"/>
      <c r="Y41" s="1"/>
      <c r="Z41" s="1"/>
      <c r="AA41" s="1"/>
      <c r="AB41" s="1"/>
      <c r="AC41" s="1"/>
      <c r="AD41" s="1"/>
      <c r="AE41" s="1"/>
    </row>
    <row r="42" spans="1:31" x14ac:dyDescent="0.2">
      <c r="A42" s="1"/>
      <c r="B42" s="26">
        <v>26</v>
      </c>
      <c r="C42" s="78"/>
      <c r="D42" s="51" t="s">
        <v>51</v>
      </c>
      <c r="E42" s="47"/>
      <c r="F42" s="52"/>
      <c r="G42" s="25">
        <f t="shared" si="1"/>
        <v>0.37037037037037035</v>
      </c>
      <c r="H42" s="6">
        <f t="shared" si="0"/>
        <v>0.29629629629629634</v>
      </c>
      <c r="I42" s="6">
        <v>9</v>
      </c>
      <c r="J42" s="6">
        <v>8</v>
      </c>
      <c r="K42" s="6">
        <v>7</v>
      </c>
      <c r="L42" s="6">
        <v>8</v>
      </c>
      <c r="M42" s="7">
        <f t="shared" si="2"/>
        <v>8</v>
      </c>
      <c r="N42" s="48"/>
      <c r="O42" s="49"/>
      <c r="P42" s="50"/>
      <c r="Q42" s="8"/>
      <c r="R42" s="43"/>
      <c r="S42" s="44"/>
      <c r="T42" s="11"/>
      <c r="U42" s="12"/>
      <c r="V42" s="12"/>
      <c r="W42" s="10"/>
      <c r="X42" s="11"/>
      <c r="Y42" s="1"/>
      <c r="Z42" s="1"/>
      <c r="AA42" s="1"/>
      <c r="AB42" s="1"/>
      <c r="AC42" s="1"/>
      <c r="AD42" s="1"/>
      <c r="AE42" s="1"/>
    </row>
    <row r="43" spans="1:31" x14ac:dyDescent="0.2">
      <c r="A43" s="1"/>
      <c r="B43" s="26">
        <v>27</v>
      </c>
      <c r="C43" s="76" t="s">
        <v>52</v>
      </c>
      <c r="D43" s="79" t="s">
        <v>53</v>
      </c>
      <c r="E43" s="70"/>
      <c r="F43" s="80"/>
      <c r="G43" s="25">
        <f t="shared" si="1"/>
        <v>0.37037037037037035</v>
      </c>
      <c r="H43" s="6">
        <f t="shared" si="0"/>
        <v>0.29629629629629634</v>
      </c>
      <c r="I43" s="6">
        <v>9</v>
      </c>
      <c r="J43" s="6">
        <v>8</v>
      </c>
      <c r="K43" s="6">
        <v>7</v>
      </c>
      <c r="L43" s="6">
        <v>8</v>
      </c>
      <c r="M43" s="7">
        <f t="shared" si="2"/>
        <v>8</v>
      </c>
      <c r="N43" s="48"/>
      <c r="O43" s="49"/>
      <c r="P43" s="50"/>
      <c r="Q43" s="8"/>
      <c r="R43" s="43"/>
      <c r="S43" s="44"/>
      <c r="T43" s="11"/>
      <c r="U43" s="12"/>
      <c r="V43" s="12"/>
      <c r="W43" s="10"/>
      <c r="X43" s="11"/>
      <c r="Y43" s="1"/>
      <c r="Z43" s="1"/>
      <c r="AA43" s="1"/>
      <c r="AB43" s="1"/>
      <c r="AC43" s="1"/>
      <c r="AD43" s="1"/>
      <c r="AE43" s="1"/>
    </row>
    <row r="44" spans="1:31" x14ac:dyDescent="0.2">
      <c r="A44" s="1"/>
      <c r="B44" s="26">
        <v>28</v>
      </c>
      <c r="C44" s="77"/>
      <c r="D44" s="51" t="s">
        <v>54</v>
      </c>
      <c r="E44" s="47"/>
      <c r="F44" s="52"/>
      <c r="G44" s="25">
        <f t="shared" si="1"/>
        <v>0.37037037037037035</v>
      </c>
      <c r="H44" s="6">
        <f t="shared" si="0"/>
        <v>0.29629629629629634</v>
      </c>
      <c r="I44" s="6">
        <v>9</v>
      </c>
      <c r="J44" s="6">
        <v>8</v>
      </c>
      <c r="K44" s="6">
        <v>7</v>
      </c>
      <c r="L44" s="6">
        <v>8</v>
      </c>
      <c r="M44" s="7">
        <f t="shared" si="2"/>
        <v>8</v>
      </c>
      <c r="N44" s="48"/>
      <c r="O44" s="49"/>
      <c r="P44" s="50"/>
      <c r="Q44" s="8"/>
      <c r="R44" s="43"/>
      <c r="S44" s="44"/>
      <c r="T44" s="11"/>
      <c r="U44" s="12"/>
      <c r="V44" s="12"/>
      <c r="W44" s="10"/>
      <c r="X44" s="11"/>
      <c r="Y44" s="1"/>
      <c r="Z44" s="1"/>
      <c r="AA44" s="1"/>
      <c r="AB44" s="1"/>
      <c r="AC44" s="1"/>
      <c r="AD44" s="1"/>
      <c r="AE44" s="1"/>
    </row>
    <row r="45" spans="1:31" x14ac:dyDescent="0.2">
      <c r="A45" s="1"/>
      <c r="B45" s="26">
        <v>29</v>
      </c>
      <c r="C45" s="77"/>
      <c r="D45" s="51" t="s">
        <v>55</v>
      </c>
      <c r="E45" s="47"/>
      <c r="F45" s="52"/>
      <c r="G45" s="25">
        <f t="shared" si="1"/>
        <v>0.37037037037037035</v>
      </c>
      <c r="H45" s="6">
        <f t="shared" si="0"/>
        <v>0.29629629629629634</v>
      </c>
      <c r="I45" s="6">
        <v>9</v>
      </c>
      <c r="J45" s="6">
        <v>8</v>
      </c>
      <c r="K45" s="6">
        <v>7</v>
      </c>
      <c r="L45" s="6">
        <v>8</v>
      </c>
      <c r="M45" s="7">
        <f t="shared" si="2"/>
        <v>8</v>
      </c>
      <c r="N45" s="48"/>
      <c r="O45" s="49"/>
      <c r="P45" s="50"/>
      <c r="Q45" s="8"/>
      <c r="R45" s="43"/>
      <c r="S45" s="44"/>
      <c r="T45" s="11"/>
      <c r="U45" s="12"/>
      <c r="V45" s="12"/>
      <c r="W45" s="10"/>
      <c r="X45" s="11"/>
      <c r="Y45" s="1"/>
      <c r="Z45" s="1"/>
      <c r="AA45" s="1"/>
      <c r="AB45" s="1"/>
      <c r="AC45" s="1"/>
      <c r="AD45" s="1"/>
      <c r="AE45" s="1"/>
    </row>
    <row r="46" spans="1:31" x14ac:dyDescent="0.2">
      <c r="A46" s="1"/>
      <c r="B46" s="26">
        <v>30</v>
      </c>
      <c r="C46" s="77"/>
      <c r="D46" s="51" t="s">
        <v>56</v>
      </c>
      <c r="E46" s="47"/>
      <c r="F46" s="52"/>
      <c r="G46" s="25">
        <f t="shared" si="1"/>
        <v>0.37037037037037035</v>
      </c>
      <c r="H46" s="6">
        <f t="shared" si="0"/>
        <v>0.29629629629629634</v>
      </c>
      <c r="I46" s="6">
        <v>9</v>
      </c>
      <c r="J46" s="6">
        <v>8</v>
      </c>
      <c r="K46" s="6">
        <v>7</v>
      </c>
      <c r="L46" s="6">
        <v>8</v>
      </c>
      <c r="M46" s="7">
        <f t="shared" si="2"/>
        <v>8</v>
      </c>
      <c r="N46" s="48"/>
      <c r="O46" s="49"/>
      <c r="P46" s="50"/>
      <c r="Q46" s="8"/>
      <c r="R46" s="43"/>
      <c r="S46" s="44"/>
      <c r="T46" s="11"/>
      <c r="U46" s="12"/>
      <c r="V46" s="12"/>
      <c r="W46" s="10"/>
      <c r="X46" s="11"/>
      <c r="Y46" s="1"/>
      <c r="Z46" s="1"/>
      <c r="AA46" s="1"/>
      <c r="AB46" s="1"/>
      <c r="AC46" s="1"/>
      <c r="AD46" s="1"/>
      <c r="AE46" s="1"/>
    </row>
    <row r="47" spans="1:31" x14ac:dyDescent="0.2">
      <c r="A47" s="1"/>
      <c r="B47" s="26">
        <v>31</v>
      </c>
      <c r="C47" s="77"/>
      <c r="D47" s="51" t="s">
        <v>57</v>
      </c>
      <c r="E47" s="47"/>
      <c r="F47" s="52"/>
      <c r="G47" s="25">
        <f t="shared" si="1"/>
        <v>0.37037037037037035</v>
      </c>
      <c r="H47" s="6">
        <f t="shared" si="0"/>
        <v>0.29629629629629634</v>
      </c>
      <c r="I47" s="6">
        <v>9</v>
      </c>
      <c r="J47" s="6">
        <v>8</v>
      </c>
      <c r="K47" s="6">
        <v>7</v>
      </c>
      <c r="L47" s="6">
        <v>8</v>
      </c>
      <c r="M47" s="7">
        <f t="shared" si="2"/>
        <v>8</v>
      </c>
      <c r="N47" s="48"/>
      <c r="O47" s="49"/>
      <c r="P47" s="50"/>
      <c r="Q47" s="8"/>
      <c r="R47" s="43"/>
      <c r="S47" s="44"/>
      <c r="T47" s="11"/>
      <c r="U47" s="12"/>
      <c r="V47" s="12"/>
      <c r="W47" s="10"/>
      <c r="X47" s="11"/>
      <c r="Y47" s="1"/>
      <c r="Z47" s="1"/>
      <c r="AA47" s="1"/>
      <c r="AB47" s="1"/>
      <c r="AC47" s="1"/>
      <c r="AD47" s="1"/>
      <c r="AE47" s="1"/>
    </row>
    <row r="48" spans="1:31" x14ac:dyDescent="0.2">
      <c r="A48" s="1"/>
      <c r="B48" s="26">
        <v>32</v>
      </c>
      <c r="C48" s="78"/>
      <c r="D48" s="51" t="s">
        <v>58</v>
      </c>
      <c r="E48" s="47"/>
      <c r="F48" s="52"/>
      <c r="G48" s="25">
        <f t="shared" si="1"/>
        <v>0.37037037037037035</v>
      </c>
      <c r="H48" s="6">
        <f t="shared" si="0"/>
        <v>0.29629629629629634</v>
      </c>
      <c r="I48" s="6">
        <v>9</v>
      </c>
      <c r="J48" s="6">
        <v>8</v>
      </c>
      <c r="K48" s="6">
        <v>7</v>
      </c>
      <c r="L48" s="6">
        <v>8</v>
      </c>
      <c r="M48" s="7">
        <f t="shared" si="2"/>
        <v>8</v>
      </c>
      <c r="N48" s="48"/>
      <c r="O48" s="49"/>
      <c r="P48" s="50"/>
      <c r="Q48" s="8"/>
      <c r="R48" s="43"/>
      <c r="S48" s="44"/>
      <c r="T48" s="11"/>
      <c r="U48" s="12"/>
      <c r="V48" s="12"/>
      <c r="W48" s="10"/>
      <c r="X48" s="11"/>
      <c r="Y48" s="1"/>
      <c r="Z48" s="1"/>
      <c r="AA48" s="1"/>
      <c r="AB48" s="1"/>
      <c r="AC48" s="1"/>
      <c r="AD48" s="1"/>
      <c r="AE48" s="1"/>
    </row>
    <row r="49" spans="1:31" x14ac:dyDescent="0.2">
      <c r="A49" s="1"/>
      <c r="B49" s="26">
        <v>33</v>
      </c>
      <c r="C49" s="99" t="s">
        <v>59</v>
      </c>
      <c r="D49" s="51" t="s">
        <v>60</v>
      </c>
      <c r="E49" s="47"/>
      <c r="F49" s="52"/>
      <c r="G49" s="25">
        <f t="shared" si="1"/>
        <v>0.37037037037037035</v>
      </c>
      <c r="H49" s="6">
        <f t="shared" si="0"/>
        <v>0.29629629629629634</v>
      </c>
      <c r="I49" s="6">
        <v>9</v>
      </c>
      <c r="J49" s="6">
        <v>8</v>
      </c>
      <c r="K49" s="6">
        <v>7</v>
      </c>
      <c r="L49" s="6">
        <v>8</v>
      </c>
      <c r="M49" s="7">
        <f t="shared" si="2"/>
        <v>8</v>
      </c>
      <c r="N49" s="48"/>
      <c r="O49" s="49"/>
      <c r="P49" s="50"/>
      <c r="Q49" s="8"/>
      <c r="R49" s="43"/>
      <c r="S49" s="44"/>
      <c r="T49" s="11"/>
      <c r="U49" s="12"/>
      <c r="V49" s="12"/>
      <c r="W49" s="10"/>
      <c r="X49" s="11"/>
      <c r="Y49" s="1"/>
      <c r="Z49" s="1"/>
      <c r="AA49" s="1"/>
      <c r="AB49" s="1"/>
      <c r="AC49" s="1"/>
      <c r="AD49" s="1"/>
      <c r="AE49" s="1"/>
    </row>
    <row r="50" spans="1:31" x14ac:dyDescent="0.2">
      <c r="A50" s="1"/>
      <c r="B50" s="26">
        <v>34</v>
      </c>
      <c r="C50" s="100"/>
      <c r="D50" s="51" t="s">
        <v>61</v>
      </c>
      <c r="E50" s="47"/>
      <c r="F50" s="52"/>
      <c r="G50" s="25">
        <f t="shared" si="1"/>
        <v>0.37037037037037035</v>
      </c>
      <c r="H50" s="6">
        <f t="shared" si="0"/>
        <v>0.29629629629629634</v>
      </c>
      <c r="I50" s="6">
        <v>9</v>
      </c>
      <c r="J50" s="6">
        <v>8</v>
      </c>
      <c r="K50" s="6">
        <v>7</v>
      </c>
      <c r="L50" s="6">
        <v>8</v>
      </c>
      <c r="M50" s="7">
        <f t="shared" si="2"/>
        <v>8</v>
      </c>
      <c r="N50" s="48"/>
      <c r="O50" s="49"/>
      <c r="P50" s="50"/>
      <c r="Q50" s="8"/>
      <c r="R50" s="43"/>
      <c r="S50" s="44"/>
      <c r="T50" s="11"/>
      <c r="U50" s="12"/>
      <c r="V50" s="12"/>
      <c r="W50" s="10"/>
      <c r="X50" s="11"/>
      <c r="Y50" s="1"/>
      <c r="Z50" s="1"/>
      <c r="AA50" s="1"/>
      <c r="AB50" s="1"/>
      <c r="AC50" s="1"/>
      <c r="AD50" s="1"/>
      <c r="AE50" s="1"/>
    </row>
    <row r="51" spans="1:31" x14ac:dyDescent="0.2">
      <c r="A51" s="1"/>
      <c r="B51" s="26">
        <v>35</v>
      </c>
      <c r="C51" s="100"/>
      <c r="D51" s="51" t="s">
        <v>62</v>
      </c>
      <c r="E51" s="47"/>
      <c r="F51" s="52"/>
      <c r="G51" s="25">
        <f t="shared" si="1"/>
        <v>0.37037037037037035</v>
      </c>
      <c r="H51" s="6">
        <f t="shared" ref="H51:H70" si="3">M51/$G$71*G51*2</f>
        <v>0.29629629629629634</v>
      </c>
      <c r="I51" s="6">
        <v>9</v>
      </c>
      <c r="J51" s="6">
        <v>8</v>
      </c>
      <c r="K51" s="6">
        <v>7</v>
      </c>
      <c r="L51" s="6">
        <v>8</v>
      </c>
      <c r="M51" s="7">
        <f t="shared" si="2"/>
        <v>8</v>
      </c>
      <c r="N51" s="48"/>
      <c r="O51" s="49"/>
      <c r="P51" s="50"/>
      <c r="Q51" s="8"/>
      <c r="R51" s="43"/>
      <c r="S51" s="44"/>
      <c r="T51" s="11"/>
      <c r="U51" s="12"/>
      <c r="V51" s="12"/>
      <c r="W51" s="10"/>
      <c r="X51" s="11"/>
      <c r="Y51" s="1"/>
      <c r="Z51" s="1"/>
      <c r="AA51" s="1"/>
      <c r="AB51" s="1"/>
      <c r="AC51" s="1"/>
      <c r="AD51" s="1"/>
      <c r="AE51" s="1"/>
    </row>
    <row r="52" spans="1:31" x14ac:dyDescent="0.2">
      <c r="A52" s="1"/>
      <c r="B52" s="26">
        <v>36</v>
      </c>
      <c r="C52" s="101"/>
      <c r="D52" s="51" t="s">
        <v>63</v>
      </c>
      <c r="E52" s="47"/>
      <c r="F52" s="52"/>
      <c r="G52" s="25">
        <f t="shared" si="1"/>
        <v>0.37037037037037035</v>
      </c>
      <c r="H52" s="6">
        <f t="shared" si="3"/>
        <v>0.29629629629629634</v>
      </c>
      <c r="I52" s="6">
        <v>9</v>
      </c>
      <c r="J52" s="6">
        <v>8</v>
      </c>
      <c r="K52" s="6">
        <v>7</v>
      </c>
      <c r="L52" s="6">
        <v>8</v>
      </c>
      <c r="M52" s="7">
        <f t="shared" si="2"/>
        <v>8</v>
      </c>
      <c r="N52" s="48"/>
      <c r="O52" s="49"/>
      <c r="P52" s="50"/>
      <c r="Q52" s="8"/>
      <c r="R52" s="43"/>
      <c r="S52" s="44"/>
      <c r="T52" s="11"/>
      <c r="U52" s="12"/>
      <c r="V52" s="12"/>
      <c r="W52" s="10"/>
      <c r="X52" s="11"/>
      <c r="Y52" s="1"/>
      <c r="Z52" s="1"/>
      <c r="AA52" s="1"/>
      <c r="AB52" s="1"/>
      <c r="AC52" s="1"/>
      <c r="AD52" s="1"/>
      <c r="AE52" s="1"/>
    </row>
    <row r="53" spans="1:31" x14ac:dyDescent="0.2">
      <c r="A53" s="1"/>
      <c r="B53" s="26">
        <v>37</v>
      </c>
      <c r="C53" s="76" t="s">
        <v>64</v>
      </c>
      <c r="D53" s="79" t="s">
        <v>65</v>
      </c>
      <c r="E53" s="70"/>
      <c r="F53" s="80"/>
      <c r="G53" s="25">
        <f t="shared" si="1"/>
        <v>0.37037037037037035</v>
      </c>
      <c r="H53" s="6">
        <f t="shared" si="3"/>
        <v>0.29629629629629634</v>
      </c>
      <c r="I53" s="6">
        <v>9</v>
      </c>
      <c r="J53" s="6">
        <v>8</v>
      </c>
      <c r="K53" s="6">
        <v>7</v>
      </c>
      <c r="L53" s="6">
        <v>8</v>
      </c>
      <c r="M53" s="7">
        <f t="shared" si="2"/>
        <v>8</v>
      </c>
      <c r="N53" s="48"/>
      <c r="O53" s="49"/>
      <c r="P53" s="50"/>
      <c r="Q53" s="8"/>
      <c r="R53" s="43"/>
      <c r="S53" s="44"/>
      <c r="T53" s="11"/>
      <c r="U53" s="12"/>
      <c r="V53" s="12"/>
      <c r="W53" s="10"/>
      <c r="X53" s="11"/>
      <c r="Y53" s="1"/>
      <c r="Z53" s="1"/>
      <c r="AA53" s="1"/>
      <c r="AB53" s="1"/>
      <c r="AC53" s="1"/>
      <c r="AD53" s="1"/>
      <c r="AE53" s="1"/>
    </row>
    <row r="54" spans="1:31" x14ac:dyDescent="0.2">
      <c r="A54" s="1"/>
      <c r="B54" s="26">
        <v>38</v>
      </c>
      <c r="C54" s="78"/>
      <c r="D54" s="79" t="s">
        <v>66</v>
      </c>
      <c r="E54" s="70"/>
      <c r="F54" s="52"/>
      <c r="G54" s="25">
        <f t="shared" si="1"/>
        <v>0.37037037037037035</v>
      </c>
      <c r="H54" s="6">
        <f t="shared" si="3"/>
        <v>0.29629629629629634</v>
      </c>
      <c r="I54" s="6">
        <v>9</v>
      </c>
      <c r="J54" s="6">
        <v>8</v>
      </c>
      <c r="K54" s="6">
        <v>7</v>
      </c>
      <c r="L54" s="6">
        <v>8</v>
      </c>
      <c r="M54" s="7">
        <f t="shared" si="2"/>
        <v>8</v>
      </c>
      <c r="N54" s="48"/>
      <c r="O54" s="49"/>
      <c r="P54" s="50"/>
      <c r="Q54" s="8"/>
      <c r="R54" s="43"/>
      <c r="S54" s="44"/>
      <c r="T54" s="11"/>
      <c r="U54" s="12"/>
      <c r="V54" s="12"/>
      <c r="W54" s="10"/>
      <c r="X54" s="11"/>
      <c r="Y54" s="1"/>
      <c r="Z54" s="1"/>
      <c r="AA54" s="1"/>
      <c r="AB54" s="1"/>
      <c r="AC54" s="1"/>
      <c r="AD54" s="1"/>
      <c r="AE54" s="1"/>
    </row>
    <row r="55" spans="1:31" x14ac:dyDescent="0.2">
      <c r="A55" s="1"/>
      <c r="B55" s="26">
        <v>39</v>
      </c>
      <c r="C55" s="76" t="s">
        <v>67</v>
      </c>
      <c r="D55" s="79" t="s">
        <v>68</v>
      </c>
      <c r="E55" s="70"/>
      <c r="F55" s="80"/>
      <c r="G55" s="25">
        <f t="shared" si="1"/>
        <v>0.37037037037037035</v>
      </c>
      <c r="H55" s="6">
        <f t="shared" si="3"/>
        <v>0.29629629629629634</v>
      </c>
      <c r="I55" s="6">
        <v>9</v>
      </c>
      <c r="J55" s="6">
        <v>8</v>
      </c>
      <c r="K55" s="6">
        <v>7</v>
      </c>
      <c r="L55" s="6">
        <v>8</v>
      </c>
      <c r="M55" s="7">
        <f t="shared" si="2"/>
        <v>8</v>
      </c>
      <c r="N55" s="48"/>
      <c r="O55" s="49"/>
      <c r="P55" s="50"/>
      <c r="Q55" s="8"/>
      <c r="R55" s="43"/>
      <c r="S55" s="44"/>
      <c r="T55" s="11"/>
      <c r="U55" s="12"/>
      <c r="V55" s="12"/>
      <c r="W55" s="10"/>
      <c r="X55" s="11"/>
      <c r="Y55" s="1"/>
      <c r="Z55" s="1"/>
      <c r="AA55" s="1"/>
      <c r="AB55" s="1"/>
      <c r="AC55" s="1"/>
      <c r="AD55" s="1"/>
      <c r="AE55" s="1"/>
    </row>
    <row r="56" spans="1:31" x14ac:dyDescent="0.2">
      <c r="A56" s="1"/>
      <c r="B56" s="26">
        <v>40</v>
      </c>
      <c r="C56" s="78"/>
      <c r="D56" s="79" t="s">
        <v>69</v>
      </c>
      <c r="E56" s="70"/>
      <c r="F56" s="80"/>
      <c r="G56" s="25">
        <f t="shared" si="1"/>
        <v>0.37037037037037035</v>
      </c>
      <c r="H56" s="6">
        <f t="shared" si="3"/>
        <v>0.29629629629629634</v>
      </c>
      <c r="I56" s="6">
        <v>9</v>
      </c>
      <c r="J56" s="6">
        <v>8</v>
      </c>
      <c r="K56" s="6">
        <v>7</v>
      </c>
      <c r="L56" s="6">
        <v>8</v>
      </c>
      <c r="M56" s="7">
        <f t="shared" si="2"/>
        <v>8</v>
      </c>
      <c r="N56" s="48"/>
      <c r="O56" s="49"/>
      <c r="P56" s="50"/>
      <c r="Q56" s="8"/>
      <c r="R56" s="43"/>
      <c r="S56" s="44"/>
      <c r="T56" s="11"/>
      <c r="U56" s="12"/>
      <c r="V56" s="12"/>
      <c r="W56" s="10"/>
      <c r="X56" s="11"/>
      <c r="Y56" s="1"/>
      <c r="Z56" s="1"/>
      <c r="AA56" s="1"/>
      <c r="AB56" s="1"/>
      <c r="AC56" s="1"/>
      <c r="AD56" s="1"/>
      <c r="AE56" s="1"/>
    </row>
    <row r="57" spans="1:31" x14ac:dyDescent="0.2">
      <c r="A57" s="1"/>
      <c r="B57" s="26">
        <v>41</v>
      </c>
      <c r="C57" s="99" t="s">
        <v>70</v>
      </c>
      <c r="D57" s="79" t="s">
        <v>71</v>
      </c>
      <c r="E57" s="70"/>
      <c r="F57" s="80"/>
      <c r="G57" s="25">
        <f t="shared" si="1"/>
        <v>0.37037037037037035</v>
      </c>
      <c r="H57" s="6">
        <f t="shared" si="3"/>
        <v>0.29629629629629634</v>
      </c>
      <c r="I57" s="6">
        <v>9</v>
      </c>
      <c r="J57" s="6">
        <v>8</v>
      </c>
      <c r="K57" s="6">
        <v>7</v>
      </c>
      <c r="L57" s="6">
        <v>8</v>
      </c>
      <c r="M57" s="7">
        <f t="shared" si="2"/>
        <v>8</v>
      </c>
      <c r="N57" s="48"/>
      <c r="O57" s="49"/>
      <c r="P57" s="50"/>
      <c r="Q57" s="8"/>
      <c r="R57" s="43"/>
      <c r="S57" s="44"/>
      <c r="T57" s="11"/>
      <c r="U57" s="12"/>
      <c r="V57" s="12"/>
      <c r="W57" s="10"/>
      <c r="X57" s="11"/>
      <c r="Y57" s="1"/>
      <c r="Z57" s="1"/>
      <c r="AA57" s="1"/>
      <c r="AB57" s="1"/>
      <c r="AC57" s="1"/>
      <c r="AD57" s="1"/>
      <c r="AE57" s="1"/>
    </row>
    <row r="58" spans="1:31" x14ac:dyDescent="0.2">
      <c r="A58" s="1"/>
      <c r="B58" s="26">
        <v>42</v>
      </c>
      <c r="C58" s="101"/>
      <c r="D58" s="79" t="s">
        <v>72</v>
      </c>
      <c r="E58" s="70"/>
      <c r="F58" s="80"/>
      <c r="G58" s="25">
        <f t="shared" si="1"/>
        <v>0.37037037037037035</v>
      </c>
      <c r="H58" s="6">
        <f t="shared" si="3"/>
        <v>0.29629629629629634</v>
      </c>
      <c r="I58" s="6">
        <v>9</v>
      </c>
      <c r="J58" s="6">
        <v>8</v>
      </c>
      <c r="K58" s="6">
        <v>7</v>
      </c>
      <c r="L58" s="6">
        <v>8</v>
      </c>
      <c r="M58" s="7">
        <f t="shared" si="2"/>
        <v>8</v>
      </c>
      <c r="N58" s="48"/>
      <c r="O58" s="49"/>
      <c r="P58" s="50"/>
      <c r="Q58" s="8"/>
      <c r="R58" s="43"/>
      <c r="S58" s="44"/>
      <c r="T58" s="11"/>
      <c r="U58" s="12"/>
      <c r="V58" s="12"/>
      <c r="W58" s="10"/>
      <c r="X58" s="11"/>
      <c r="Y58" s="1"/>
      <c r="Z58" s="1"/>
      <c r="AA58" s="1"/>
      <c r="AB58" s="1"/>
      <c r="AC58" s="1"/>
      <c r="AD58" s="1"/>
      <c r="AE58" s="1"/>
    </row>
    <row r="59" spans="1:31" x14ac:dyDescent="0.2">
      <c r="A59" s="1"/>
      <c r="B59" s="26">
        <v>43</v>
      </c>
      <c r="C59" s="76" t="s">
        <v>73</v>
      </c>
      <c r="D59" s="79" t="s">
        <v>74</v>
      </c>
      <c r="E59" s="70"/>
      <c r="F59" s="80"/>
      <c r="G59" s="25">
        <f t="shared" si="1"/>
        <v>0.37037037037037035</v>
      </c>
      <c r="H59" s="6">
        <f t="shared" si="3"/>
        <v>0.29629629629629634</v>
      </c>
      <c r="I59" s="6">
        <v>9</v>
      </c>
      <c r="J59" s="6">
        <v>8</v>
      </c>
      <c r="K59" s="6">
        <v>7</v>
      </c>
      <c r="L59" s="6">
        <v>8</v>
      </c>
      <c r="M59" s="7">
        <f t="shared" si="2"/>
        <v>8</v>
      </c>
      <c r="N59" s="48"/>
      <c r="O59" s="49"/>
      <c r="P59" s="50"/>
      <c r="Q59" s="8"/>
      <c r="R59" s="43"/>
      <c r="S59" s="44"/>
      <c r="T59" s="11"/>
      <c r="U59" s="12"/>
      <c r="V59" s="12"/>
      <c r="W59" s="10"/>
      <c r="X59" s="11"/>
      <c r="Y59" s="1"/>
      <c r="Z59" s="1"/>
      <c r="AA59" s="1"/>
      <c r="AB59" s="1"/>
      <c r="AC59" s="1"/>
      <c r="AD59" s="1"/>
      <c r="AE59" s="1"/>
    </row>
    <row r="60" spans="1:31" x14ac:dyDescent="0.2">
      <c r="A60" s="1"/>
      <c r="B60" s="26">
        <v>44</v>
      </c>
      <c r="C60" s="77"/>
      <c r="D60" s="79" t="s">
        <v>75</v>
      </c>
      <c r="E60" s="70"/>
      <c r="F60" s="80"/>
      <c r="G60" s="25">
        <f t="shared" si="1"/>
        <v>0.37037037037037035</v>
      </c>
      <c r="H60" s="6">
        <f t="shared" si="3"/>
        <v>0.29629629629629634</v>
      </c>
      <c r="I60" s="6">
        <v>9</v>
      </c>
      <c r="J60" s="6">
        <v>8</v>
      </c>
      <c r="K60" s="6">
        <v>7</v>
      </c>
      <c r="L60" s="6">
        <v>8</v>
      </c>
      <c r="M60" s="7">
        <f t="shared" si="2"/>
        <v>8</v>
      </c>
      <c r="N60" s="48"/>
      <c r="O60" s="49"/>
      <c r="P60" s="50"/>
      <c r="Q60" s="8"/>
      <c r="R60" s="43"/>
      <c r="S60" s="44"/>
      <c r="T60" s="11"/>
      <c r="U60" s="12"/>
      <c r="V60" s="12"/>
      <c r="W60" s="10"/>
      <c r="X60" s="11"/>
      <c r="Y60" s="1"/>
      <c r="Z60" s="1"/>
      <c r="AA60" s="1"/>
      <c r="AB60" s="1"/>
      <c r="AC60" s="1"/>
      <c r="AD60" s="1"/>
      <c r="AE60" s="1"/>
    </row>
    <row r="61" spans="1:31" ht="24" customHeight="1" x14ac:dyDescent="0.2">
      <c r="A61" s="1"/>
      <c r="B61" s="26">
        <v>45</v>
      </c>
      <c r="C61" s="77"/>
      <c r="D61" s="79" t="s">
        <v>76</v>
      </c>
      <c r="E61" s="70"/>
      <c r="F61" s="80"/>
      <c r="G61" s="25">
        <f t="shared" si="1"/>
        <v>0.37037037037037035</v>
      </c>
      <c r="H61" s="6">
        <f t="shared" si="3"/>
        <v>0.29629629629629634</v>
      </c>
      <c r="I61" s="6">
        <v>9</v>
      </c>
      <c r="J61" s="6">
        <v>8</v>
      </c>
      <c r="K61" s="6">
        <v>7</v>
      </c>
      <c r="L61" s="6">
        <v>8</v>
      </c>
      <c r="M61" s="7">
        <f t="shared" si="2"/>
        <v>8</v>
      </c>
      <c r="N61" s="48"/>
      <c r="O61" s="49"/>
      <c r="P61" s="50"/>
      <c r="Q61" s="8"/>
      <c r="R61" s="43"/>
      <c r="S61" s="44"/>
      <c r="T61" s="11"/>
      <c r="U61" s="12"/>
      <c r="V61" s="12"/>
      <c r="W61" s="10"/>
      <c r="X61" s="11"/>
      <c r="Y61" s="1"/>
      <c r="Z61" s="1"/>
      <c r="AA61" s="1"/>
      <c r="AB61" s="1"/>
      <c r="AC61" s="1"/>
      <c r="AD61" s="1"/>
      <c r="AE61" s="1"/>
    </row>
    <row r="62" spans="1:31" x14ac:dyDescent="0.2">
      <c r="A62" s="1"/>
      <c r="B62" s="26">
        <v>46</v>
      </c>
      <c r="C62" s="77"/>
      <c r="D62" s="79" t="s">
        <v>77</v>
      </c>
      <c r="E62" s="70"/>
      <c r="F62" s="80"/>
      <c r="G62" s="25">
        <f t="shared" si="1"/>
        <v>0.37037037037037035</v>
      </c>
      <c r="H62" s="6">
        <f t="shared" si="3"/>
        <v>0.29629629629629634</v>
      </c>
      <c r="I62" s="6">
        <v>9</v>
      </c>
      <c r="J62" s="6">
        <v>8</v>
      </c>
      <c r="K62" s="6">
        <v>7</v>
      </c>
      <c r="L62" s="6">
        <v>8</v>
      </c>
      <c r="M62" s="7">
        <f t="shared" si="2"/>
        <v>8</v>
      </c>
      <c r="N62" s="48"/>
      <c r="O62" s="49"/>
      <c r="P62" s="50"/>
      <c r="Q62" s="8"/>
      <c r="R62" s="43"/>
      <c r="S62" s="44"/>
      <c r="T62" s="11"/>
      <c r="U62" s="12"/>
      <c r="V62" s="12"/>
      <c r="W62" s="10"/>
      <c r="X62" s="11"/>
      <c r="Y62" s="1"/>
      <c r="Z62" s="1"/>
      <c r="AA62" s="1"/>
      <c r="AB62" s="1"/>
      <c r="AC62" s="1"/>
      <c r="AD62" s="1"/>
      <c r="AE62" s="1"/>
    </row>
    <row r="63" spans="1:31" x14ac:dyDescent="0.2">
      <c r="A63" s="1"/>
      <c r="B63" s="26">
        <v>47</v>
      </c>
      <c r="C63" s="78"/>
      <c r="D63" s="79" t="s">
        <v>78</v>
      </c>
      <c r="E63" s="70"/>
      <c r="F63" s="80"/>
      <c r="G63" s="25">
        <f t="shared" si="1"/>
        <v>0.37037037037037035</v>
      </c>
      <c r="H63" s="6">
        <f t="shared" si="3"/>
        <v>0.29629629629629634</v>
      </c>
      <c r="I63" s="6">
        <v>9</v>
      </c>
      <c r="J63" s="6">
        <v>8</v>
      </c>
      <c r="K63" s="6">
        <v>7</v>
      </c>
      <c r="L63" s="6">
        <v>8</v>
      </c>
      <c r="M63" s="7">
        <f t="shared" si="2"/>
        <v>8</v>
      </c>
      <c r="N63" s="48"/>
      <c r="O63" s="49"/>
      <c r="P63" s="50"/>
      <c r="Q63" s="8"/>
      <c r="R63" s="43"/>
      <c r="S63" s="44"/>
      <c r="T63" s="11"/>
      <c r="U63" s="12"/>
      <c r="V63" s="12"/>
      <c r="W63" s="10"/>
      <c r="X63" s="11"/>
      <c r="Y63" s="1"/>
      <c r="Z63" s="1"/>
      <c r="AA63" s="1"/>
      <c r="AB63" s="1"/>
      <c r="AC63" s="1"/>
      <c r="AD63" s="1"/>
      <c r="AE63" s="1"/>
    </row>
    <row r="64" spans="1:31" x14ac:dyDescent="0.2">
      <c r="A64" s="1"/>
      <c r="B64" s="26">
        <v>48</v>
      </c>
      <c r="C64" s="76" t="s">
        <v>79</v>
      </c>
      <c r="D64" s="79" t="s">
        <v>80</v>
      </c>
      <c r="E64" s="70"/>
      <c r="F64" s="80"/>
      <c r="G64" s="25">
        <f t="shared" si="1"/>
        <v>0.37037037037037035</v>
      </c>
      <c r="H64" s="6">
        <f t="shared" si="3"/>
        <v>0.29629629629629634</v>
      </c>
      <c r="I64" s="6">
        <v>9</v>
      </c>
      <c r="J64" s="6">
        <v>8</v>
      </c>
      <c r="K64" s="6">
        <v>7</v>
      </c>
      <c r="L64" s="6">
        <v>8</v>
      </c>
      <c r="M64" s="7">
        <f t="shared" si="2"/>
        <v>8</v>
      </c>
      <c r="N64" s="48"/>
      <c r="O64" s="49"/>
      <c r="P64" s="50"/>
      <c r="Q64" s="8"/>
      <c r="R64" s="43"/>
      <c r="S64" s="44"/>
      <c r="T64" s="11"/>
      <c r="U64" s="12"/>
      <c r="V64" s="12"/>
      <c r="W64" s="10"/>
      <c r="X64" s="11"/>
      <c r="Y64" s="1"/>
      <c r="Z64" s="1"/>
      <c r="AA64" s="1"/>
      <c r="AB64" s="1"/>
      <c r="AC64" s="1"/>
      <c r="AD64" s="1"/>
      <c r="AE64" s="1"/>
    </row>
    <row r="65" spans="1:31" ht="25.5" customHeight="1" x14ac:dyDescent="0.2">
      <c r="A65" s="1"/>
      <c r="B65" s="26">
        <v>49</v>
      </c>
      <c r="C65" s="77"/>
      <c r="D65" s="79" t="s">
        <v>81</v>
      </c>
      <c r="E65" s="70"/>
      <c r="F65" s="80"/>
      <c r="G65" s="25">
        <f t="shared" si="1"/>
        <v>0.37037037037037035</v>
      </c>
      <c r="H65" s="6">
        <f t="shared" si="3"/>
        <v>0.29629629629629634</v>
      </c>
      <c r="I65" s="6">
        <v>9</v>
      </c>
      <c r="J65" s="6">
        <v>8</v>
      </c>
      <c r="K65" s="6">
        <v>7</v>
      </c>
      <c r="L65" s="6">
        <v>8</v>
      </c>
      <c r="M65" s="7">
        <f t="shared" si="2"/>
        <v>8</v>
      </c>
      <c r="N65" s="48"/>
      <c r="O65" s="49"/>
      <c r="P65" s="50"/>
      <c r="Q65" s="8"/>
      <c r="R65" s="43"/>
      <c r="S65" s="44"/>
      <c r="T65" s="11"/>
      <c r="U65" s="12"/>
      <c r="V65" s="12"/>
      <c r="W65" s="10"/>
      <c r="X65" s="11"/>
      <c r="Y65" s="1"/>
      <c r="Z65" s="1"/>
      <c r="AA65" s="1"/>
      <c r="AB65" s="1"/>
      <c r="AC65" s="1"/>
      <c r="AD65" s="1"/>
      <c r="AE65" s="1"/>
    </row>
    <row r="66" spans="1:31" x14ac:dyDescent="0.2">
      <c r="A66" s="1"/>
      <c r="B66" s="26">
        <v>50</v>
      </c>
      <c r="C66" s="78"/>
      <c r="D66" s="79" t="s">
        <v>82</v>
      </c>
      <c r="E66" s="70"/>
      <c r="F66" s="80"/>
      <c r="G66" s="25">
        <f t="shared" si="1"/>
        <v>0.37037037037037035</v>
      </c>
      <c r="H66" s="6">
        <f t="shared" si="3"/>
        <v>0.29629629629629634</v>
      </c>
      <c r="I66" s="6">
        <v>9</v>
      </c>
      <c r="J66" s="6">
        <v>8</v>
      </c>
      <c r="K66" s="6">
        <v>7</v>
      </c>
      <c r="L66" s="6">
        <v>8</v>
      </c>
      <c r="M66" s="7">
        <f t="shared" si="2"/>
        <v>8</v>
      </c>
      <c r="N66" s="48"/>
      <c r="O66" s="49"/>
      <c r="P66" s="50"/>
      <c r="Q66" s="8"/>
      <c r="R66" s="43"/>
      <c r="S66" s="44"/>
      <c r="T66" s="11"/>
      <c r="U66" s="12"/>
      <c r="V66" s="12"/>
      <c r="W66" s="10"/>
      <c r="X66" s="11"/>
      <c r="Y66" s="1"/>
      <c r="Z66" s="1"/>
      <c r="AA66" s="1"/>
      <c r="AB66" s="1"/>
      <c r="AC66" s="1"/>
      <c r="AD66" s="1"/>
      <c r="AE66" s="1"/>
    </row>
    <row r="67" spans="1:31" ht="25.5" customHeight="1" x14ac:dyDescent="0.2">
      <c r="A67" s="1"/>
      <c r="B67" s="26">
        <v>51</v>
      </c>
      <c r="C67" s="76" t="s">
        <v>83</v>
      </c>
      <c r="D67" s="117" t="s">
        <v>94</v>
      </c>
      <c r="E67" s="118"/>
      <c r="F67" s="119"/>
      <c r="G67" s="25">
        <f t="shared" si="1"/>
        <v>0.37037037037037035</v>
      </c>
      <c r="H67" s="6">
        <f t="shared" si="3"/>
        <v>0.29629629629629634</v>
      </c>
      <c r="I67" s="6">
        <v>9</v>
      </c>
      <c r="J67" s="6">
        <v>8</v>
      </c>
      <c r="K67" s="6">
        <v>7</v>
      </c>
      <c r="L67" s="6">
        <v>8</v>
      </c>
      <c r="M67" s="7">
        <f t="shared" si="2"/>
        <v>8</v>
      </c>
      <c r="N67" s="48"/>
      <c r="O67" s="49"/>
      <c r="P67" s="50"/>
      <c r="Q67" s="8"/>
      <c r="R67" s="43"/>
      <c r="S67" s="44"/>
      <c r="T67" s="11"/>
      <c r="U67" s="12"/>
      <c r="V67" s="12"/>
      <c r="W67" s="10"/>
      <c r="X67" s="11"/>
      <c r="Y67" s="1"/>
      <c r="Z67" s="1"/>
      <c r="AA67" s="1"/>
      <c r="AB67" s="1"/>
      <c r="AC67" s="1"/>
      <c r="AD67" s="1"/>
      <c r="AE67" s="1"/>
    </row>
    <row r="68" spans="1:31" ht="24" customHeight="1" x14ac:dyDescent="0.2">
      <c r="A68" s="1"/>
      <c r="B68" s="26">
        <v>52</v>
      </c>
      <c r="C68" s="77"/>
      <c r="D68" s="79" t="s">
        <v>84</v>
      </c>
      <c r="E68" s="70"/>
      <c r="F68" s="80"/>
      <c r="G68" s="25">
        <f t="shared" si="1"/>
        <v>0.37037037037037035</v>
      </c>
      <c r="H68" s="6">
        <f t="shared" si="3"/>
        <v>0.29629629629629634</v>
      </c>
      <c r="I68" s="6">
        <v>9</v>
      </c>
      <c r="J68" s="6">
        <v>8</v>
      </c>
      <c r="K68" s="6">
        <v>7</v>
      </c>
      <c r="L68" s="6">
        <v>8</v>
      </c>
      <c r="M68" s="7">
        <f t="shared" si="2"/>
        <v>8</v>
      </c>
      <c r="N68" s="48"/>
      <c r="O68" s="49"/>
      <c r="P68" s="50"/>
      <c r="Q68" s="8"/>
      <c r="R68" s="43"/>
      <c r="S68" s="44"/>
      <c r="T68" s="11"/>
      <c r="U68" s="12"/>
      <c r="V68" s="12"/>
      <c r="W68" s="10"/>
      <c r="X68" s="11"/>
      <c r="Y68" s="1"/>
      <c r="Z68" s="1"/>
      <c r="AA68" s="1"/>
      <c r="AB68" s="1"/>
      <c r="AC68" s="1"/>
      <c r="AD68" s="1"/>
      <c r="AE68" s="1"/>
    </row>
    <row r="69" spans="1:31" x14ac:dyDescent="0.2">
      <c r="A69" s="1"/>
      <c r="B69" s="26">
        <v>53</v>
      </c>
      <c r="C69" s="77"/>
      <c r="D69" s="79" t="s">
        <v>85</v>
      </c>
      <c r="E69" s="70"/>
      <c r="F69" s="80"/>
      <c r="G69" s="25">
        <f t="shared" si="1"/>
        <v>0.37037037037037035</v>
      </c>
      <c r="H69" s="6">
        <f t="shared" si="3"/>
        <v>0.29629629629629634</v>
      </c>
      <c r="I69" s="6">
        <v>9</v>
      </c>
      <c r="J69" s="6">
        <v>8</v>
      </c>
      <c r="K69" s="6">
        <v>7</v>
      </c>
      <c r="L69" s="6">
        <v>8</v>
      </c>
      <c r="M69" s="7">
        <f t="shared" si="2"/>
        <v>8</v>
      </c>
      <c r="N69" s="48"/>
      <c r="O69" s="49"/>
      <c r="P69" s="50"/>
      <c r="Q69" s="8"/>
      <c r="R69" s="43"/>
      <c r="S69" s="44"/>
      <c r="T69" s="11"/>
      <c r="U69" s="12"/>
      <c r="V69" s="12"/>
      <c r="W69" s="10"/>
      <c r="X69" s="11"/>
      <c r="Y69" s="1"/>
      <c r="Z69" s="1"/>
      <c r="AA69" s="1"/>
      <c r="AB69" s="1"/>
      <c r="AC69" s="1"/>
      <c r="AD69" s="1"/>
      <c r="AE69" s="1"/>
    </row>
    <row r="70" spans="1:31" x14ac:dyDescent="0.2">
      <c r="A70" s="1"/>
      <c r="B70" s="26">
        <v>54</v>
      </c>
      <c r="C70" s="78"/>
      <c r="D70" s="79" t="s">
        <v>86</v>
      </c>
      <c r="E70" s="70"/>
      <c r="F70" s="80"/>
      <c r="G70" s="25">
        <f t="shared" si="1"/>
        <v>0.37037037037037035</v>
      </c>
      <c r="H70" s="6">
        <f t="shared" si="3"/>
        <v>0.29629629629629634</v>
      </c>
      <c r="I70" s="6">
        <v>9</v>
      </c>
      <c r="J70" s="6">
        <v>8</v>
      </c>
      <c r="K70" s="6">
        <v>7</v>
      </c>
      <c r="L70" s="6">
        <v>8</v>
      </c>
      <c r="M70" s="7">
        <f t="shared" si="2"/>
        <v>8</v>
      </c>
      <c r="N70" s="48"/>
      <c r="O70" s="49"/>
      <c r="P70" s="50"/>
      <c r="Q70" s="8"/>
      <c r="R70" s="43"/>
      <c r="S70" s="44"/>
      <c r="T70" s="11"/>
      <c r="U70" s="12"/>
      <c r="V70" s="12"/>
      <c r="W70" s="10"/>
      <c r="X70" s="11"/>
      <c r="Y70" s="1"/>
      <c r="Z70" s="1"/>
      <c r="AA70" s="1"/>
      <c r="AB70" s="1"/>
      <c r="AC70" s="1"/>
      <c r="AD70" s="1"/>
      <c r="AE70" s="1"/>
    </row>
    <row r="71" spans="1:31" ht="12.75" customHeight="1" thickBot="1" x14ac:dyDescent="0.25">
      <c r="A71" s="1"/>
      <c r="B71" s="102"/>
      <c r="C71" s="53"/>
      <c r="D71" s="103" t="s">
        <v>11</v>
      </c>
      <c r="E71" s="104"/>
      <c r="F71" s="105"/>
      <c r="G71" s="35">
        <f>SUM(G17:G70)</f>
        <v>19.999999999999996</v>
      </c>
      <c r="H71" s="36">
        <f>SUM(H17:H70)</f>
        <v>15.999999999999993</v>
      </c>
      <c r="I71" s="36"/>
      <c r="J71" s="36"/>
      <c r="K71" s="36"/>
      <c r="L71" s="36"/>
      <c r="M71" s="37">
        <f>AVERAGE(M17:M70)</f>
        <v>8</v>
      </c>
      <c r="N71" s="108"/>
      <c r="O71" s="109"/>
      <c r="P71" s="110"/>
      <c r="Q71" s="1"/>
      <c r="R71" s="8"/>
      <c r="S71" s="8"/>
      <c r="T71" s="8"/>
      <c r="U71" s="8"/>
      <c r="V71" s="8"/>
      <c r="W71" s="8"/>
      <c r="X71" s="8"/>
      <c r="Y71" s="1"/>
      <c r="Z71" s="1"/>
      <c r="AA71" s="1"/>
      <c r="AB71" s="1"/>
      <c r="AC71" s="1"/>
      <c r="AD71" s="1"/>
      <c r="AE71" s="1"/>
    </row>
    <row r="72" spans="1:31" ht="12.75" customHeight="1" thickBot="1" x14ac:dyDescent="0.25">
      <c r="A72" s="1"/>
      <c r="B72" s="102"/>
      <c r="C72" s="53"/>
      <c r="D72" s="106"/>
      <c r="E72" s="106"/>
      <c r="F72" s="107"/>
      <c r="G72" s="114">
        <f>H71/G71</f>
        <v>0.79999999999999982</v>
      </c>
      <c r="H72" s="115"/>
      <c r="I72" s="115"/>
      <c r="J72" s="115"/>
      <c r="K72" s="115"/>
      <c r="L72" s="115"/>
      <c r="M72" s="116"/>
      <c r="N72" s="111"/>
      <c r="O72" s="112"/>
      <c r="P72" s="11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customHeight="1" x14ac:dyDescent="0.2">
      <c r="A73" s="1"/>
      <c r="B73" s="1"/>
      <c r="C73" s="1"/>
      <c r="D73" s="3"/>
      <c r="E73" s="3"/>
      <c r="F73" s="3"/>
      <c r="G73" s="4"/>
      <c r="H73" s="4"/>
      <c r="I73" s="4"/>
      <c r="J73" s="4"/>
      <c r="K73" s="4"/>
      <c r="L73" s="4"/>
      <c r="M73" s="4"/>
      <c r="N73" s="5"/>
      <c r="O73" s="5"/>
      <c r="P73" s="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</sheetData>
  <mergeCells count="75">
    <mergeCell ref="B71:B72"/>
    <mergeCell ref="D71:F72"/>
    <mergeCell ref="N71:P72"/>
    <mergeCell ref="G72:M72"/>
    <mergeCell ref="C64:C66"/>
    <mergeCell ref="D64:F64"/>
    <mergeCell ref="D65:F65"/>
    <mergeCell ref="D66:F66"/>
    <mergeCell ref="D68:F68"/>
    <mergeCell ref="D69:F69"/>
    <mergeCell ref="D70:F70"/>
    <mergeCell ref="D67:F67"/>
    <mergeCell ref="C67:C70"/>
    <mergeCell ref="C59:C63"/>
    <mergeCell ref="D59:F59"/>
    <mergeCell ref="D60:F60"/>
    <mergeCell ref="D61:F61"/>
    <mergeCell ref="D62:F62"/>
    <mergeCell ref="D63:F63"/>
    <mergeCell ref="C55:C56"/>
    <mergeCell ref="D55:F55"/>
    <mergeCell ref="D56:F56"/>
    <mergeCell ref="C57:C58"/>
    <mergeCell ref="D57:F57"/>
    <mergeCell ref="D58:F58"/>
    <mergeCell ref="C43:C48"/>
    <mergeCell ref="D43:F43"/>
    <mergeCell ref="C49:C52"/>
    <mergeCell ref="C53:C54"/>
    <mergeCell ref="D53:F53"/>
    <mergeCell ref="D54:E54"/>
    <mergeCell ref="D28:F28"/>
    <mergeCell ref="D29:F29"/>
    <mergeCell ref="C30:C31"/>
    <mergeCell ref="D30:F30"/>
    <mergeCell ref="D31:F31"/>
    <mergeCell ref="C36:C42"/>
    <mergeCell ref="C21:C23"/>
    <mergeCell ref="D21:F21"/>
    <mergeCell ref="D22:F22"/>
    <mergeCell ref="D23:F23"/>
    <mergeCell ref="C24:C26"/>
    <mergeCell ref="D24:F24"/>
    <mergeCell ref="D25:F25"/>
    <mergeCell ref="D26:F26"/>
    <mergeCell ref="D32:F32"/>
    <mergeCell ref="C33:C35"/>
    <mergeCell ref="D33:F33"/>
    <mergeCell ref="D34:F34"/>
    <mergeCell ref="D35:F35"/>
    <mergeCell ref="C27:C29"/>
    <mergeCell ref="D27:F27"/>
    <mergeCell ref="R13:X13"/>
    <mergeCell ref="D15:F15"/>
    <mergeCell ref="D17:F17"/>
    <mergeCell ref="N17:P17"/>
    <mergeCell ref="C18:C20"/>
    <mergeCell ref="D18:F18"/>
    <mergeCell ref="D19:F19"/>
    <mergeCell ref="D20:F20"/>
    <mergeCell ref="B13:F14"/>
    <mergeCell ref="G13:M14"/>
    <mergeCell ref="N13:P15"/>
    <mergeCell ref="D8:D9"/>
    <mergeCell ref="P8:Q8"/>
    <mergeCell ref="P9:Q9"/>
    <mergeCell ref="D11:E11"/>
    <mergeCell ref="F11:M11"/>
    <mergeCell ref="B7:D7"/>
    <mergeCell ref="P7:Q7"/>
    <mergeCell ref="B2:P2"/>
    <mergeCell ref="D4:E4"/>
    <mergeCell ref="P5:Q5"/>
    <mergeCell ref="E6:F6"/>
    <mergeCell ref="P6:Q6"/>
  </mergeCells>
  <conditionalFormatting sqref="E9">
    <cfRule type="cellIs" dxfId="21" priority="9" stopIfTrue="1" operator="equal">
      <formula>""</formula>
    </cfRule>
    <cfRule type="cellIs" dxfId="20" priority="10" stopIfTrue="1" operator="between">
      <formula>0.8</formula>
      <formula>1</formula>
    </cfRule>
    <cfRule type="cellIs" dxfId="19" priority="11" stopIfTrue="1" operator="between">
      <formula>0</formula>
      <formula>0.7999</formula>
    </cfRule>
  </conditionalFormatting>
  <conditionalFormatting sqref="F5">
    <cfRule type="containsText" dxfId="18" priority="21" operator="containsText" text="NÃO">
      <formula>NOT(ISERROR(SEARCH(("NÃO"),(F5))))</formula>
    </cfRule>
    <cfRule type="containsText" dxfId="17" priority="22" operator="containsText" text="SIM">
      <formula>NOT(ISERROR(SEARCH(("SIM"),(F5))))</formula>
    </cfRule>
  </conditionalFormatting>
  <conditionalFormatting sqref="F11:M11">
    <cfRule type="containsText" dxfId="16" priority="15" operator="containsText" text="AGUARDANDO">
      <formula>NOT(ISERROR(SEARCH(("AGUARDANDO"),(F11))))</formula>
    </cfRule>
    <cfRule type="containsText" dxfId="15" priority="16" operator="containsText" text="REPROVADO">
      <formula>NOT(ISERROR(SEARCH(("REPROVADO"),(F11))))</formula>
    </cfRule>
    <cfRule type="containsText" dxfId="14" priority="17" operator="containsText" text="APROVADO">
      <formula>NOT(ISERROR(SEARCH(("APROVADO"),(F11))))</formula>
    </cfRule>
    <cfRule type="cellIs" dxfId="13" priority="18" stopIfTrue="1" operator="equal">
      <formula>""</formula>
    </cfRule>
    <cfRule type="cellIs" dxfId="12" priority="19" stopIfTrue="1" operator="equal">
      <formula>"Senso Implantado"</formula>
    </cfRule>
    <cfRule type="cellIs" dxfId="11" priority="20" stopIfTrue="1" operator="equal">
      <formula>"Senso Não Implantado"</formula>
    </cfRule>
  </conditionalFormatting>
  <conditionalFormatting sqref="G72:M72">
    <cfRule type="cellIs" dxfId="10" priority="7" stopIfTrue="1" operator="between">
      <formula>0.8</formula>
      <formula>1</formula>
    </cfRule>
    <cfRule type="cellIs" dxfId="9" priority="8" stopIfTrue="1" operator="between">
      <formula>0</formula>
      <formula>0.7999</formula>
    </cfRule>
  </conditionalFormatting>
  <conditionalFormatting sqref="M17:M70">
    <cfRule type="cellIs" dxfId="8" priority="12" stopIfTrue="1" operator="equal">
      <formula>G17*95%</formula>
    </cfRule>
    <cfRule type="cellIs" dxfId="7" priority="13" stopIfTrue="1" operator="equal">
      <formula>0</formula>
    </cfRule>
    <cfRule type="cellIs" dxfId="6" priority="14" stopIfTrue="1" operator="equal">
      <formula>G17/2</formula>
    </cfRule>
  </conditionalFormatting>
  <conditionalFormatting sqref="M73">
    <cfRule type="cellIs" dxfId="5" priority="4" stopIfTrue="1" operator="equal">
      <formula>G73</formula>
    </cfRule>
    <cfRule type="cellIs" dxfId="4" priority="5" stopIfTrue="1" operator="equal">
      <formula>G73*95%</formula>
    </cfRule>
    <cfRule type="cellIs" dxfId="3" priority="6" stopIfTrue="1" operator="equal">
      <formula>0</formula>
    </cfRule>
  </conditionalFormatting>
  <conditionalFormatting sqref="S17:S70">
    <cfRule type="cellIs" dxfId="2" priority="1" stopIfTrue="1" operator="equal">
      <formula>R17*95%</formula>
    </cfRule>
  </conditionalFormatting>
  <conditionalFormatting sqref="S17:S70">
    <cfRule type="cellIs" dxfId="1" priority="2" stopIfTrue="1" operator="equal">
      <formula>0</formula>
    </cfRule>
  </conditionalFormatting>
  <conditionalFormatting sqref="S17:S70">
    <cfRule type="cellIs" dxfId="0" priority="3" stopIfTrue="1" operator="equal">
      <formula>R17/2</formula>
    </cfRule>
  </conditionalFormatting>
  <pageMargins left="0.11811023622047245" right="0.11811023622047245" top="0.78740157480314965" bottom="0.78740157480314965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Fulano de 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WILLIAN FRASAO REIS</dc:creator>
  <cp:keywords/>
  <dc:description/>
  <cp:lastModifiedBy>Microsoft Office User</cp:lastModifiedBy>
  <cp:revision/>
  <cp:lastPrinted>2024-12-12T21:27:02Z</cp:lastPrinted>
  <dcterms:created xsi:type="dcterms:W3CDTF">2023-08-30T12:27:50Z</dcterms:created>
  <dcterms:modified xsi:type="dcterms:W3CDTF">2026-02-04T21:26:20Z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7bf1a-c152-4c4f-a00e-351b32103ca2_Enabled">
    <vt:lpwstr>true</vt:lpwstr>
  </property>
  <property fmtid="{D5CDD505-2E9C-101B-9397-08002B2CF9AE}" pid="3" name="MSIP_Label_2057bf1a-c152-4c4f-a00e-351b32103ca2_SetDate">
    <vt:lpwstr>2024-07-19T16:44:29Z</vt:lpwstr>
  </property>
  <property fmtid="{D5CDD505-2E9C-101B-9397-08002B2CF9AE}" pid="4" name="MSIP_Label_2057bf1a-c152-4c4f-a00e-351b32103ca2_Method">
    <vt:lpwstr>Standard</vt:lpwstr>
  </property>
  <property fmtid="{D5CDD505-2E9C-101B-9397-08002B2CF9AE}" pid="5" name="MSIP_Label_2057bf1a-c152-4c4f-a00e-351b32103ca2_Name">
    <vt:lpwstr>Público</vt:lpwstr>
  </property>
  <property fmtid="{D5CDD505-2E9C-101B-9397-08002B2CF9AE}" pid="6" name="MSIP_Label_2057bf1a-c152-4c4f-a00e-351b32103ca2_SiteId">
    <vt:lpwstr>c45ab305-6c94-4ace-b7ae-5810e4d26b68</vt:lpwstr>
  </property>
  <property fmtid="{D5CDD505-2E9C-101B-9397-08002B2CF9AE}" pid="7" name="MSIP_Label_2057bf1a-c152-4c4f-a00e-351b32103ca2_ActionId">
    <vt:lpwstr>077351ae-1730-4fd8-8de0-c5eca688dd25</vt:lpwstr>
  </property>
  <property fmtid="{D5CDD505-2E9C-101B-9397-08002B2CF9AE}" pid="8" name="MSIP_Label_2057bf1a-c152-4c4f-a00e-351b32103ca2_ContentBits">
    <vt:lpwstr>0</vt:lpwstr>
  </property>
</Properties>
</file>